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EBITDA Bridge" sheetId="3" state="visible" r:id="rId3"/>
    <sheet name="Adjustment Schedule" sheetId="4" state="visible" r:id="rId4"/>
    <sheet name="NWC" sheetId="5" state="visible" r:id="rId5"/>
    <sheet name="CCC &amp; Diagnostics" sheetId="6" state="visible" r:id="rId6"/>
    <sheet name="Source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08080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1F7A1F"/>
      <sz val="10"/>
    </font>
    <font>
      <name val="Calibri"/>
      <i val="1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  <border>
      <top style="double">
        <color rgb="00000000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164" fontId="6" fillId="0" borderId="3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5" fontId="4" fillId="0" borderId="0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</cols>
  <sheetData>
    <row r="1" ht="28" customHeight="1">
      <c r="A1" s="1" t="inlineStr">
        <is>
          <t>Super Micro Computer, Inc. — Quality of Earnings</t>
        </is>
      </c>
    </row>
    <row r="2">
      <c r="A2" s="2" t="inlineStr">
        <is>
          <t>Buy-side diligence (public-information Phase 1)</t>
        </is>
      </c>
    </row>
    <row r="4">
      <c r="A4" s="3" t="inlineStr">
        <is>
          <t>Prepared as</t>
        </is>
      </c>
      <c r="B4" s="4" t="inlineStr">
        <is>
          <t>Illustrative buy-side QoE for a hypothetical take-private of SMCI.</t>
        </is>
      </c>
    </row>
    <row r="5">
      <c r="A5" s="3" t="inlineStr">
        <is>
          <t>Basis of preparation</t>
        </is>
      </c>
      <c r="B5" s="4" t="inlineStr">
        <is>
          <t>Public SEC filings only. No trial balance, no management access, no cut-off testing. Phase 1 / pre-LOI scope.</t>
        </is>
      </c>
    </row>
    <row r="6">
      <c r="A6" s="3" t="inlineStr">
        <is>
          <t>Periods</t>
        </is>
      </c>
      <c r="B6" s="4" t="inlineStr">
        <is>
          <t>FY2023 / FY2024 / FY2025 (fiscal years end June 30).</t>
        </is>
      </c>
    </row>
    <row r="7">
      <c r="A7" s="3" t="inlineStr">
        <is>
          <t>Currency / units</t>
        </is>
      </c>
      <c r="B7" s="4" t="inlineStr">
        <is>
          <t>USD, in thousands (matches the 10-K).</t>
        </is>
      </c>
    </row>
    <row r="8">
      <c r="A8" s="5" t="inlineStr"/>
      <c r="B8" s="4" t="inlineStr"/>
    </row>
    <row r="9">
      <c r="A9" s="3" t="inlineStr">
        <is>
          <t>Colour convention</t>
        </is>
      </c>
      <c r="B9" s="4" t="inlineStr"/>
    </row>
    <row r="10">
      <c r="A10" s="6" t="inlineStr">
        <is>
          <t xml:space="preserve">  Blue</t>
        </is>
      </c>
      <c r="B10" s="4" t="inlineStr">
        <is>
          <t>Hard-coded input — a sourced or assumed number.</t>
        </is>
      </c>
    </row>
    <row r="11">
      <c r="A11" s="5" t="inlineStr">
        <is>
          <t xml:space="preserve">  Black</t>
        </is>
      </c>
      <c r="B11" s="4" t="inlineStr">
        <is>
          <t>Formula — a computed cell.</t>
        </is>
      </c>
    </row>
    <row r="12">
      <c r="A12" s="7" t="inlineStr">
        <is>
          <t xml:space="preserve">  Green</t>
        </is>
      </c>
      <c r="B12" s="4" t="inlineStr">
        <is>
          <t>Link to another sheet.</t>
        </is>
      </c>
    </row>
    <row r="13">
      <c r="A13" s="5" t="inlineStr">
        <is>
          <t xml:space="preserve">  Amber tab</t>
        </is>
      </c>
      <c r="B13" s="4" t="inlineStr">
        <is>
          <t>Assumptions — the only non-sourced numbers in the model.</t>
        </is>
      </c>
    </row>
    <row r="14">
      <c r="A14" s="5" t="inlineStr"/>
      <c r="B14" s="4" t="inlineStr"/>
    </row>
    <row r="15">
      <c r="A15" s="3" t="inlineStr">
        <is>
          <t>Source documents</t>
        </is>
      </c>
      <c r="B15" s="4" t="inlineStr">
        <is>
          <t>SMCI FY2023/FY2024/FY2025 10-K; FY2022/FY2025/FY2026 DEF 14A; 8-K 2024-10-30 (Item 4.01, EY resignation).</t>
        </is>
      </c>
    </row>
    <row r="16">
      <c r="A16" s="3" t="inlineStr">
        <is>
          <t>Control note</t>
        </is>
      </c>
      <c r="B16" s="4" t="inlineStr">
        <is>
          <t>Balance sheet balances and income-statement subtotals are re-derived on every run; the model raises on any missing sourced figure.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2" customWidth="1" min="4" max="4"/>
    <col width="52" customWidth="1" min="5" max="5"/>
  </cols>
  <sheetData>
    <row r="1" ht="28" customHeight="1">
      <c r="A1" s="1" t="inlineStr">
        <is>
          <t>Assumptions — non-sourced inputs (amber)</t>
        </is>
      </c>
    </row>
    <row r="2">
      <c r="A2" s="2" t="inlineStr">
        <is>
          <t>Everything here is a CHOICE, not a filing figure. Kept few and explicit.</t>
        </is>
      </c>
    </row>
    <row r="4">
      <c r="A4" s="8" t="inlineStr">
        <is>
          <t>ID</t>
        </is>
      </c>
      <c r="B4" s="8" t="inlineStr">
        <is>
          <t>Assumption</t>
        </is>
      </c>
      <c r="C4" s="8" t="inlineStr">
        <is>
          <t>Low</t>
        </is>
      </c>
      <c r="D4" s="8" t="inlineStr">
        <is>
          <t>High</t>
        </is>
      </c>
      <c r="E4" s="8" t="inlineStr">
        <is>
          <t>Basis</t>
        </is>
      </c>
    </row>
    <row r="5">
      <c r="A5" s="9" t="inlineStr">
        <is>
          <t>A-1</t>
        </is>
      </c>
      <c r="B5" s="10" t="inlineStr">
        <is>
          <t>Illustrative EV / EBITDA multiple (x)</t>
        </is>
      </c>
      <c r="C5" s="11" t="n">
        <v>12</v>
      </c>
      <c r="D5" s="11" t="n">
        <v>18</v>
      </c>
      <c r="E5" s="12" t="inlineStr">
        <is>
          <t>Sensitivity range only; not a valuation opinion.</t>
        </is>
      </c>
    </row>
    <row r="6">
      <c r="A6" s="9" t="inlineStr">
        <is>
          <t>A-2</t>
        </is>
      </c>
      <c r="B6" s="10" t="inlineStr">
        <is>
          <t>Pro forma compliant finance-function cost ($000s/yr)</t>
        </is>
      </c>
      <c r="C6" s="11" t="n">
        <v>15000</v>
      </c>
      <c r="D6" s="11" t="n">
        <v>40000</v>
      </c>
      <c r="E6" s="12" t="inlineStr">
        <is>
          <t>Benchmarked to peer proxy audit-fee + G&amp;A headcount; ADJ-003.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2" customWidth="1" min="4" max="4"/>
    <col width="40" customWidth="1" min="5" max="5"/>
  </cols>
  <sheetData>
    <row r="1" ht="28" customHeight="1">
      <c r="A1" s="1" t="inlineStr">
        <is>
          <t>EBITDA Bridge — three-tier walk (FY2025)</t>
        </is>
      </c>
    </row>
    <row r="2">
      <c r="A2" s="2" t="inlineStr">
        <is>
          <t>$ in thousands. Green cells link to Source Data; black cells are formulas.</t>
        </is>
      </c>
    </row>
    <row r="4">
      <c r="A4" s="8" t="inlineStr">
        <is>
          <t>ID</t>
        </is>
      </c>
      <c r="B4" s="8" t="inlineStr">
        <is>
          <t>Line</t>
        </is>
      </c>
      <c r="C4" s="8" t="inlineStr">
        <is>
          <t>Amount</t>
        </is>
      </c>
      <c r="D4" s="8" t="inlineStr">
        <is>
          <t>Treatment</t>
        </is>
      </c>
      <c r="E4" s="8" t="inlineStr">
        <is>
          <t>Tickmark (source)</t>
        </is>
      </c>
    </row>
    <row r="5">
      <c r="A5" s="13" t="inlineStr"/>
      <c r="B5" s="14" t="inlineStr">
        <is>
          <t>GAAP EBITDA (Operating income + D&amp;A)</t>
        </is>
      </c>
      <c r="C5" s="15">
        <f>'Source Data'!C242+'Source Data'!C170</f>
        <v/>
      </c>
      <c r="D5" s="16" t="inlineStr">
        <is>
          <t>subtotal</t>
        </is>
      </c>
      <c r="E5" s="17" t="inlineStr">
        <is>
          <t>IS: Operating income; CF: D&amp;A</t>
        </is>
      </c>
    </row>
    <row r="6">
      <c r="A6" s="18" t="inlineStr">
        <is>
          <t>ADJ-001</t>
        </is>
      </c>
      <c r="B6" s="13" t="inlineStr">
        <is>
          <t>+ Stock-based compensation (contested)</t>
        </is>
      </c>
      <c r="C6" s="15">
        <f>'Source Data'!C184</f>
        <v/>
      </c>
      <c r="D6" s="18" t="inlineStr">
        <is>
          <t>BOTH</t>
        </is>
      </c>
      <c r="E6" s="17" t="inlineStr">
        <is>
          <t>CF: Stock-based compensation</t>
        </is>
      </c>
    </row>
    <row r="7">
      <c r="A7" s="18" t="inlineStr">
        <is>
          <t>ADJ-002</t>
        </is>
      </c>
      <c r="B7" s="13" t="inlineStr">
        <is>
          <t>+ Incremental audit fees vs FY22 baseline</t>
        </is>
      </c>
      <c r="C7" s="15">
        <f>'Source Data'!C304-'Source Data'!C307</f>
        <v/>
      </c>
      <c r="D7" s="18" t="inlineStr">
        <is>
          <t>ACCEPT</t>
        </is>
      </c>
      <c r="E7" s="17" t="inlineStr">
        <is>
          <t>DEF 14A: Principal Accountant Fees</t>
        </is>
      </c>
    </row>
    <row r="8">
      <c r="B8" s="19">
        <f> Management-basis EBITDA (SBC added back)</f>
        <v/>
      </c>
      <c r="C8" s="20">
        <f>C5+C6</f>
        <v/>
      </c>
    </row>
    <row r="9">
      <c r="B9" s="14">
        <f> Diligence Adj. EBITDA — SBC added back</f>
        <v/>
      </c>
      <c r="C9" s="21">
        <f>C5+C6+C7</f>
        <v/>
      </c>
    </row>
    <row r="10">
      <c r="B10" s="22">
        <f> Diligence Adj. EBITDA — SBC as real cost</f>
        <v/>
      </c>
      <c r="C10" s="23">
        <f>C5+C7</f>
        <v/>
      </c>
    </row>
    <row r="12">
      <c r="B12" s="2" t="inlineStr">
        <is>
          <t>SBC decision swing (EBITDA):</t>
        </is>
      </c>
      <c r="C12" s="24">
        <f>C6</f>
        <v/>
      </c>
    </row>
    <row r="13">
      <c r="B13" s="2" t="inlineStr">
        <is>
          <t>SBC swing at Assumptions A-1 low multiple (EV):</t>
        </is>
      </c>
      <c r="C13" s="24">
        <f>C6*Assumptions!C5</f>
        <v/>
      </c>
    </row>
    <row r="15">
      <c r="B15" s="25" t="inlineStr">
        <is>
          <t>Not booked (shown as exposures on Adjustment Schedule): ADJ-003 finance-function cost, ADJ-004 related-party pricing, ADJ-005 ramp-cost reversal.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14" customWidth="1" min="5" max="5"/>
    <col width="52" customWidth="1" min="6" max="6"/>
    <col width="52" customWidth="1" min="7" max="7"/>
  </cols>
  <sheetData>
    <row r="1" ht="28" customHeight="1">
      <c r="A1" s="1" t="inlineStr">
        <is>
          <t>Adjustment Schedule — rationale AND counterargument</t>
        </is>
      </c>
    </row>
    <row r="2">
      <c r="A2" s="2" t="inlineStr">
        <is>
          <t>Every adjustment carries the seller's pushback. Nothing is booked without it.</t>
        </is>
      </c>
    </row>
    <row r="4">
      <c r="A4" s="8" t="inlineStr">
        <is>
          <t>ID</t>
        </is>
      </c>
      <c r="B4" s="8" t="inlineStr">
        <is>
          <t>Adjustment</t>
        </is>
      </c>
      <c r="C4" s="8" t="inlineStr">
        <is>
          <t>Tier</t>
        </is>
      </c>
      <c r="D4" s="8" t="inlineStr">
        <is>
          <t>Treatment</t>
        </is>
      </c>
      <c r="E4" s="8" t="inlineStr">
        <is>
          <t>Mkt practice</t>
        </is>
      </c>
      <c r="F4" s="8" t="inlineStr">
        <is>
          <t>Rationale</t>
        </is>
      </c>
      <c r="G4" s="8" t="inlineStr">
        <is>
          <t>Counterargument (seller)</t>
        </is>
      </c>
    </row>
    <row r="5" ht="66" customHeight="1">
      <c r="A5" s="18" t="inlineStr">
        <is>
          <t>ADJ-001</t>
        </is>
      </c>
      <c r="B5" s="26" t="inlineStr">
        <is>
          <t>Stock-based compensation</t>
        </is>
      </c>
      <c r="C5" s="18" t="inlineStr">
        <is>
          <t>management</t>
        </is>
      </c>
      <c r="D5" s="18" t="inlineStr">
        <is>
          <t>BOTH</t>
        </is>
      </c>
      <c r="E5" s="16" t="inlineStr">
        <is>
          <t>contested</t>
        </is>
      </c>
      <c r="F5" s="26" t="inlineStr">
        <is>
          <t>Non-cash and excluded from SMCI's own non-GAAP measures; comparable-company multiples are typically struck on an SBC-excluded basis, so excluding it keeps metric and multiple consistent.</t>
        </is>
      </c>
      <c r="G5" s="26" t="inlineStr">
        <is>
          <t>SBC is real compensation. Strip it out and you must replace it with cash to retain engineers, so it is a recurring economic cost; it also dilutes the buyer. Present BOTH bases and show the dilution separately — do not treat it as a free add-back.</t>
        </is>
      </c>
    </row>
    <row r="6" ht="66" customHeight="1">
      <c r="A6" s="18" t="inlineStr">
        <is>
          <t>ADJ-002</t>
        </is>
      </c>
      <c r="B6" s="26" t="inlineStr">
        <is>
          <t>Incremental audit fees (accounting-crisis, vs FY2022 pre-crisis baseline)</t>
        </is>
      </c>
      <c r="C6" s="18" t="inlineStr">
        <is>
          <t>diligence</t>
        </is>
      </c>
      <c r="D6" s="18" t="inlineStr">
        <is>
          <t>ACCEPT</t>
        </is>
      </c>
      <c r="E6" s="16" t="inlineStr">
        <is>
          <t>standard</t>
        </is>
      </c>
      <c r="F6" s="26" t="inlineStr">
        <is>
          <t>Discrete, non-recurring incremental audit cost from the crisis, sourced hard from the proxy "Principal Accountant Fees and Services" tables. A FLOOR on crisis cost, not the total.</t>
        </is>
      </c>
      <c r="G6" s="26" t="inlineStr">
        <is>
          <t>Seller: obviously non-recurring, the investigation is over. Buy-side: accept the incremental AUDIT fee only; the far larger forensic/legal/consulting costs sit unquantifiably in G&amp;A, and a permanently-compliant SMCI carries structurally higher ongoing audit fees than pre-crisis.</t>
        </is>
      </c>
    </row>
    <row r="7" ht="66" customHeight="1">
      <c r="A7" s="18" t="inlineStr">
        <is>
          <t>ADJ-003</t>
        </is>
      </c>
      <c r="B7" s="26" t="inlineStr">
        <is>
          <t>Pro forma cost of a compliant finance function</t>
        </is>
      </c>
      <c r="C7" s="18" t="inlineStr">
        <is>
          <t>diligence</t>
        </is>
      </c>
      <c r="D7" s="18" t="inlineStr">
        <is>
          <t>SENSITIVITY</t>
        </is>
      </c>
      <c r="E7" s="16" t="inlineStr">
        <is>
          <t>standard</t>
        </is>
      </c>
      <c r="F7" s="26" t="inlineStr">
        <is>
          <t>Remediating five material weaknesses is not one-time: permanent incremental accounting/internal -audit headcount, a real SOX program, systems, and higher ongoing audit fees. A properly controlled SMCI has a structurally higher G&amp;A run-rate than it has ever had -&gt; a NEGATIVE adjustment. This is the clearest "think like a buyer" signal in the model.</t>
        </is>
      </c>
      <c r="G7" s="26" t="inlineStr">
        <is>
          <t>Seller: remediation is temporary project cost, not run-rate; scale absorbs it (G&amp;A already falling as a % of revenue). Buy-side answer: size it as a range benchmarked to peers and run it as a sensitivity; make the compliant-cost build a Day-1 integration line item.</t>
        </is>
      </c>
    </row>
    <row r="8" ht="66" customHeight="1">
      <c r="A8" s="18" t="inlineStr">
        <is>
          <t>ADJ-004</t>
        </is>
      </c>
      <c r="B8" s="26" t="inlineStr">
        <is>
          <t>Related-party pricing normalization (arm's-length COGS)</t>
        </is>
      </c>
      <c r="C8" s="18" t="inlineStr">
        <is>
          <t>diligence</t>
        </is>
      </c>
      <c r="D8" s="18" t="inlineStr">
        <is>
          <t>SENSITIVITY</t>
        </is>
      </c>
      <c r="E8" s="16" t="inlineStr">
        <is>
          <t>standard_to_test</t>
        </is>
      </c>
      <c r="F8" s="26" t="inlineStr">
        <is>
          <t>3.3%-6.6% of COGS runs through CEO-family-affiliated entities (Ablecom, Compuware). If they supply below market, reported COGS is understated and EBITDA is subsidized by the founder's family — a subsidy the buyer may not inherit.</t>
        </is>
      </c>
      <c r="G8" s="26" t="inlineStr">
        <is>
          <t>Seller: long-standing, fully disclosed, audit-committee-reviewed, priced at market. Buy-side: quantify exposure + per-100bps sensitivity now; make an arm's-length benchmarking study a condition precedent. Booking a specific number without the study is aggressive.</t>
        </is>
      </c>
    </row>
    <row r="9" ht="66" customHeight="1">
      <c r="A9" s="18" t="inlineStr">
        <is>
          <t>ADJ-005</t>
        </is>
      </c>
      <c r="B9" s="26" t="inlineStr">
        <is>
          <t>Reverse management "non-recurring ramp cost" add-backs</t>
        </is>
      </c>
      <c r="C9" s="18" t="inlineStr">
        <is>
          <t>management</t>
        </is>
      </c>
      <c r="D9" s="18" t="inlineStr">
        <is>
          <t>REJECT</t>
        </is>
      </c>
      <c r="E9" s="16" t="inlineStr">
        <is>
          <t>standard_buyside</t>
        </is>
      </c>
      <c r="F9" s="26" t="inlineStr">
        <is>
          <t>In a hardware business that has "ramped" for several consecutive years, expedite freight and ramp inefficiency are the cost of operating, not an anomaly. Test: will this cost exist for the buyer next year? If yes, it is not non-recurring.</t>
        </is>
      </c>
      <c r="G9" s="26" t="inlineStr">
        <is>
          <t>Seller: genuinely one-time ramp/expedite costs; margins normalize at scale. Buy-side: reject or accept only a discrete, invoice-substantiated slice. Cannot be quantified from public data — flagged as a scoped diligence request, not a booked number.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6" customWidth="1" min="5" max="5"/>
  </cols>
  <sheetData>
    <row r="1" ht="28" customHeight="1">
      <c r="A1" s="1" t="inlineStr">
        <is>
          <t>Net Working Capital — peg schedule</t>
        </is>
      </c>
    </row>
    <row r="2">
      <c r="A2" s="2" t="inlineStr">
        <is>
          <t>$ in thousands. Cash-free/debt-free; excludes cash, debt, income taxes.</t>
        </is>
      </c>
    </row>
    <row r="4">
      <c r="A4" s="8" t="inlineStr">
        <is>
          <t>Component</t>
        </is>
      </c>
      <c r="B4" s="8" t="inlineStr">
        <is>
          <t>FY2023</t>
        </is>
      </c>
      <c r="C4" s="8" t="inlineStr">
        <is>
          <t>FY2024</t>
        </is>
      </c>
      <c r="D4" s="8" t="inlineStr">
        <is>
          <t>FY2025</t>
        </is>
      </c>
      <c r="E4" s="8" t="inlineStr">
        <is>
          <t>Tickmark</t>
        </is>
      </c>
    </row>
    <row r="5">
      <c r="A5" s="13" t="inlineStr">
        <is>
          <t>+ Accounts receivable, net</t>
        </is>
      </c>
      <c r="B5" s="15">
        <f>'Source Data'!C14</f>
        <v/>
      </c>
      <c r="C5" s="15">
        <f>'Source Data'!C15</f>
        <v/>
      </c>
      <c r="D5" s="15">
        <f>'Source Data'!C16</f>
        <v/>
      </c>
      <c r="E5" s="17" t="inlineStr">
        <is>
          <t>Balance sheet / Note 6</t>
        </is>
      </c>
    </row>
    <row r="6">
      <c r="A6" s="13" t="inlineStr">
        <is>
          <t>+ Inventories, net</t>
        </is>
      </c>
      <c r="B6" s="15">
        <f>'Source Data'!C53</f>
        <v/>
      </c>
      <c r="C6" s="15">
        <f>'Source Data'!C54</f>
        <v/>
      </c>
      <c r="D6" s="15">
        <f>'Source Data'!C55</f>
        <v/>
      </c>
      <c r="E6" s="17" t="inlineStr">
        <is>
          <t>Balance sheet / Note 6</t>
        </is>
      </c>
    </row>
    <row r="7">
      <c r="A7" s="13" t="inlineStr">
        <is>
          <t>+ Prepaid &amp; other current assets</t>
        </is>
      </c>
      <c r="B7" s="15">
        <f>'Source Data'!C75</f>
        <v/>
      </c>
      <c r="C7" s="15">
        <f>'Source Data'!C76</f>
        <v/>
      </c>
      <c r="D7" s="15">
        <f>'Source Data'!C77</f>
        <v/>
      </c>
      <c r="E7" s="17" t="inlineStr">
        <is>
          <t>Balance sheet / Note 6</t>
        </is>
      </c>
    </row>
    <row r="8">
      <c r="A8" s="13" t="inlineStr">
        <is>
          <t>- Accounts payable</t>
        </is>
      </c>
      <c r="B8" s="15">
        <f>-'Source Data'!C5</f>
        <v/>
      </c>
      <c r="C8" s="15">
        <f>-'Source Data'!C6</f>
        <v/>
      </c>
      <c r="D8" s="15">
        <f>-'Source Data'!C7</f>
        <v/>
      </c>
      <c r="E8" s="17" t="inlineStr">
        <is>
          <t>Balance sheet / Note 6</t>
        </is>
      </c>
    </row>
    <row r="9">
      <c r="A9" s="13" t="inlineStr">
        <is>
          <t>- Accrued liabilities</t>
        </is>
      </c>
      <c r="B9" s="15">
        <f>-'Source Data'!C23</f>
        <v/>
      </c>
      <c r="C9" s="15">
        <f>-'Source Data'!C24</f>
        <v/>
      </c>
      <c r="D9" s="15">
        <f>-'Source Data'!C25</f>
        <v/>
      </c>
      <c r="E9" s="17" t="inlineStr">
        <is>
          <t>Balance sheet / Note 6</t>
        </is>
      </c>
    </row>
    <row r="10">
      <c r="A10" s="13" t="inlineStr">
        <is>
          <t>- Deferred revenue, current</t>
        </is>
      </c>
      <c r="B10" s="15">
        <f>-'Source Data'!C44</f>
        <v/>
      </c>
      <c r="C10" s="15">
        <f>-'Source Data'!C45</f>
        <v/>
      </c>
      <c r="D10" s="15">
        <f>-'Source Data'!C46</f>
        <v/>
      </c>
      <c r="E10" s="17" t="inlineStr">
        <is>
          <t>Balance sheet / Note 6</t>
        </is>
      </c>
    </row>
    <row r="11">
      <c r="A11" s="19">
        <f> Net working capital</f>
        <v/>
      </c>
      <c r="B11" s="20">
        <f>SUM(B5:B10)</f>
        <v/>
      </c>
      <c r="C11" s="20">
        <f>SUM(C5:C10)</f>
        <v/>
      </c>
      <c r="D11" s="20">
        <f>SUM(D5:D10)</f>
        <v/>
      </c>
    </row>
    <row r="12">
      <c r="A12" s="2" t="inlineStr">
        <is>
          <t xml:space="preserve">  NWC as % of revenue</t>
        </is>
      </c>
      <c r="B12" s="27">
        <f>B11/'Source Data'!C271</f>
        <v/>
      </c>
      <c r="C12" s="27">
        <f>C11/'Source Data'!C272</f>
        <v/>
      </c>
      <c r="D12" s="27">
        <f>D11/'Source Data'!C273</f>
        <v/>
      </c>
    </row>
    <row r="14">
      <c r="A14" s="25" t="inlineStr">
        <is>
          <t>Peg note: recommend pegging NWC as a % of LTM revenue, not a trailing dollar average — a dollar peg transfers value to the seller in a working-capital-hungry growth business.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7" customWidth="1" min="11" max="11"/>
  </cols>
  <sheetData>
    <row r="1" ht="28" customHeight="1">
      <c r="A1" s="1" t="inlineStr">
        <is>
          <t>Cash conversion &amp; earnings quality</t>
        </is>
      </c>
    </row>
    <row r="2">
      <c r="A2" s="2" t="inlineStr">
        <is>
          <t>Turnover on average balances where a prior period exists.</t>
        </is>
      </c>
    </row>
    <row r="4">
      <c r="A4" s="8" t="inlineStr">
        <is>
          <t>Metric</t>
        </is>
      </c>
      <c r="B4" s="8" t="inlineStr">
        <is>
          <t>FY2023</t>
        </is>
      </c>
      <c r="C4" s="8" t="inlineStr">
        <is>
          <t>FY2024</t>
        </is>
      </c>
      <c r="D4" s="8" t="inlineStr">
        <is>
          <t>FY2025</t>
        </is>
      </c>
      <c r="E4" s="8" t="inlineStr">
        <is>
          <t>Read</t>
        </is>
      </c>
    </row>
    <row r="5">
      <c r="A5" s="13" t="inlineStr">
        <is>
          <t>DIO (days)</t>
        </is>
      </c>
      <c r="B5" s="28" t="n">
        <v>90.34047944771568</v>
      </c>
      <c r="C5" s="28" t="n">
        <v>81.57535527393939</v>
      </c>
      <c r="D5" s="28" t="n">
        <v>84.17440021860473</v>
      </c>
      <c r="E5" s="17" t="inlineStr">
        <is>
          <t>Inventory days</t>
        </is>
      </c>
    </row>
    <row r="6">
      <c r="A6" s="13" t="inlineStr">
        <is>
          <t>DSO (days)</t>
        </is>
      </c>
      <c r="B6" s="28" t="n">
        <v>58.83562771689463</v>
      </c>
      <c r="C6" s="28" t="n">
        <v>47.30857966151877</v>
      </c>
      <c r="D6" s="28" t="n">
        <v>41.04226282199897</v>
      </c>
      <c r="E6" s="17" t="inlineStr">
        <is>
          <t>Receivable days</t>
        </is>
      </c>
    </row>
    <row r="7">
      <c r="A7" s="13" t="inlineStr">
        <is>
          <t>DPO (days)</t>
        </is>
      </c>
      <c r="B7" s="28" t="n">
        <v>48.54803038111658</v>
      </c>
      <c r="C7" s="28" t="n">
        <v>31.75172018282094</v>
      </c>
      <c r="D7" s="28" t="n">
        <v>25.72240550155254</v>
      </c>
      <c r="E7" s="17" t="inlineStr">
        <is>
          <t>Payable days — falling = suppliers want cash</t>
        </is>
      </c>
    </row>
    <row r="8">
      <c r="A8" s="13" t="inlineStr">
        <is>
          <t>CCC (days)</t>
        </is>
      </c>
      <c r="B8" s="28" t="n">
        <v>100.6280767834937</v>
      </c>
      <c r="C8" s="28" t="n">
        <v>97.13221475263724</v>
      </c>
      <c r="D8" s="28" t="n">
        <v>99.49425753905116</v>
      </c>
      <c r="E8" s="17" t="inlineStr">
        <is>
          <t>DIO+DSO-DPO</t>
        </is>
      </c>
    </row>
    <row r="9">
      <c r="A9" s="13" t="inlineStr">
        <is>
          <t>NWC ($000s)</t>
        </is>
      </c>
      <c r="B9" s="29" t="n">
        <v>1663604</v>
      </c>
      <c r="C9" s="29" t="n">
        <v>5337087</v>
      </c>
      <c r="D9" s="29" t="n">
        <v>4915392</v>
      </c>
      <c r="E9" s="17" t="inlineStr">
        <is>
          <t>Absolute NWC</t>
        </is>
      </c>
    </row>
    <row r="10">
      <c r="A10" s="13" t="inlineStr">
        <is>
          <t>NWC / revenue</t>
        </is>
      </c>
      <c r="B10" s="30" t="n">
        <v>0.2335380365950247</v>
      </c>
      <c r="C10" s="30" t="n">
        <v>0.3560609532791198</v>
      </c>
      <c r="D10" s="30" t="n">
        <v>0.2237112053581547</v>
      </c>
      <c r="E10" s="17" t="inlineStr">
        <is>
          <t>The operating metric</t>
        </is>
      </c>
    </row>
    <row r="11">
      <c r="A11" s="13" t="inlineStr">
        <is>
          <t>Accruals ratio</t>
        </is>
      </c>
      <c r="B11" s="30" t="n"/>
      <c r="C11" s="30" t="n">
        <v>0.5390247007941221</v>
      </c>
      <c r="D11" s="30" t="n">
        <v>-0.05122099118703202</v>
      </c>
      <c r="E11" s="17" t="inlineStr">
        <is>
          <t>(NI-CFO)/avg assets — Sloan</t>
        </is>
      </c>
    </row>
    <row r="13">
      <c r="A13" s="3" t="inlineStr">
        <is>
          <t>Beneish M-score (screen; read components)</t>
        </is>
      </c>
    </row>
    <row r="14">
      <c r="A14" s="8" t="inlineStr">
        <is>
          <t>Year</t>
        </is>
      </c>
      <c r="B14" s="8" t="inlineStr">
        <is>
          <t>DSRI</t>
        </is>
      </c>
      <c r="C14" s="8" t="inlineStr">
        <is>
          <t>GMI</t>
        </is>
      </c>
      <c r="D14" s="8" t="inlineStr">
        <is>
          <t>AQI</t>
        </is>
      </c>
      <c r="E14" s="8" t="inlineStr">
        <is>
          <t>SGI</t>
        </is>
      </c>
      <c r="F14" s="8" t="inlineStr">
        <is>
          <t>DEPI</t>
        </is>
      </c>
      <c r="G14" s="8" t="inlineStr">
        <is>
          <t>SGAI</t>
        </is>
      </c>
      <c r="H14" s="8" t="inlineStr">
        <is>
          <t>TATA</t>
        </is>
      </c>
      <c r="I14" s="8" t="inlineStr">
        <is>
          <t>LVGI</t>
        </is>
      </c>
      <c r="J14" s="8" t="inlineStr">
        <is>
          <t>M</t>
        </is>
      </c>
      <c r="K14" s="8" t="inlineStr">
        <is>
          <t>Flag</t>
        </is>
      </c>
    </row>
    <row r="15">
      <c r="A15" s="18" t="inlineStr">
        <is>
          <t>FY2024</t>
        </is>
      </c>
      <c r="B15" s="31" t="n">
        <v>1.132921599595687</v>
      </c>
      <c r="C15" s="31" t="n">
        <v>1.309646059848361</v>
      </c>
      <c r="D15" s="31" t="n">
        <v>0.8756097717845447</v>
      </c>
      <c r="E15" s="31" t="n">
        <v>2.10420283226658</v>
      </c>
      <c r="F15" s="31" t="n">
        <v>1.482947213722633</v>
      </c>
      <c r="G15" s="31" t="n">
        <v>0.8571802434077174</v>
      </c>
      <c r="H15" s="31" t="n">
        <v>0.370303677189263</v>
      </c>
      <c r="I15" s="31" t="n">
        <v>0.9684005654791328</v>
      </c>
      <c r="J15" s="31" t="n">
        <v>0.5635641137795724</v>
      </c>
      <c r="K15" s="32" t="inlineStr">
        <is>
          <t>FLAG</t>
        </is>
      </c>
    </row>
    <row r="16">
      <c r="A16" s="18" t="inlineStr">
        <is>
          <t>FY2025</t>
        </is>
      </c>
      <c r="B16" s="31" t="n">
        <v>0.5492655451015159</v>
      </c>
      <c r="C16" s="31" t="n">
        <v>1.243547944226292</v>
      </c>
      <c r="D16" s="31" t="n">
        <v>1.769837985714216</v>
      </c>
      <c r="E16" s="31" t="n">
        <v>1.465853230424923</v>
      </c>
      <c r="F16" s="31" t="n">
        <v>0.740538284962609</v>
      </c>
      <c r="G16" s="31" t="n">
        <v>0.9523519230138493</v>
      </c>
      <c r="H16" s="31" t="n">
        <v>-0.0435619426399349</v>
      </c>
      <c r="I16" s="31" t="n">
        <v>1.226852606790176</v>
      </c>
      <c r="J16" s="31" t="n">
        <v>-2.339176516207874</v>
      </c>
      <c r="K16" s="32" t="inlineStr">
        <is>
          <t>ok</t>
        </is>
      </c>
    </row>
    <row r="18">
      <c r="A18" s="25" t="inlineStr">
        <is>
          <t>Note: FY2024 flags, driven partly by SGI (sales doubled — benign growth). The components that matter are DSRI&gt;1, GMI&gt;1, DEPI&gt;1; corroborated by the 54% accruals ratio.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2" customWidth="1" min="4" max="4"/>
    <col width="40" customWidth="1" min="5" max="5"/>
    <col width="14" customWidth="1" min="6" max="6"/>
  </cols>
  <sheetData>
    <row r="1" ht="28" customHeight="1">
      <c r="A1" s="1" t="inlineStr">
        <is>
          <t>Source Data — every figure, with provenance</t>
        </is>
      </c>
    </row>
    <row r="2">
      <c r="A2" s="2" t="inlineStr">
        <is>
          <t>$ in thousands. FILED = from filing; ASSUMPTION = chosen input; NOT_DISCLOSED = filing is silent (a finding).</t>
        </is>
      </c>
    </row>
    <row r="4">
      <c r="A4" s="8" t="inlineStr">
        <is>
          <t>Line item</t>
        </is>
      </c>
      <c r="B4" s="8" t="inlineStr">
        <is>
          <t>Period</t>
        </is>
      </c>
      <c r="C4" s="8" t="inlineStr">
        <is>
          <t>Value ($000s)</t>
        </is>
      </c>
      <c r="D4" s="8" t="inlineStr">
        <is>
          <t>Source</t>
        </is>
      </c>
      <c r="E4" s="8" t="inlineStr">
        <is>
          <t>Reference</t>
        </is>
      </c>
      <c r="F4" s="8" t="inlineStr">
        <is>
          <t>Provenance</t>
        </is>
      </c>
    </row>
    <row r="5">
      <c r="A5" s="13" t="inlineStr">
        <is>
          <t>Accounts payable</t>
        </is>
      </c>
      <c r="B5" s="18" t="inlineStr">
        <is>
          <t>FY2023</t>
        </is>
      </c>
      <c r="C5" s="29" t="n">
        <v>776831</v>
      </c>
      <c r="D5" s="17" t="inlineStr">
        <is>
          <t>10-K</t>
        </is>
      </c>
      <c r="E5" s="17" t="inlineStr">
        <is>
          <t>XBRL AccountsPayableCurrent | 0001375365-23-000036</t>
        </is>
      </c>
      <c r="F5" s="16" t="inlineStr">
        <is>
          <t>FILED</t>
        </is>
      </c>
    </row>
    <row r="6">
      <c r="A6" s="13" t="inlineStr">
        <is>
          <t>Accounts payable</t>
        </is>
      </c>
      <c r="B6" s="18" t="inlineStr">
        <is>
          <t>FY2024</t>
        </is>
      </c>
      <c r="C6" s="29" t="n">
        <v>1472381</v>
      </c>
      <c r="D6" s="17" t="inlineStr">
        <is>
          <t>10-K</t>
        </is>
      </c>
      <c r="E6" s="17" t="inlineStr">
        <is>
          <t>XBRL AccountsPayableCurrent | 0001375365-25-000004</t>
        </is>
      </c>
      <c r="F6" s="16" t="inlineStr">
        <is>
          <t>FILED</t>
        </is>
      </c>
    </row>
    <row r="7">
      <c r="A7" s="13" t="inlineStr">
        <is>
          <t>Accounts payable</t>
        </is>
      </c>
      <c r="B7" s="18" t="inlineStr">
        <is>
          <t>FY2025</t>
        </is>
      </c>
      <c r="C7" s="29" t="n">
        <v>1281977</v>
      </c>
      <c r="D7" s="17" t="inlineStr">
        <is>
          <t>10-K</t>
        </is>
      </c>
      <c r="E7" s="17" t="inlineStr">
        <is>
          <t>XBRL AccountsPayableCurrent | 0001375365-25-000027</t>
        </is>
      </c>
      <c r="F7" s="16" t="inlineStr">
        <is>
          <t>FILED</t>
        </is>
      </c>
    </row>
    <row r="8">
      <c r="A8" s="13" t="inlineStr">
        <is>
          <t>Accounts payable</t>
        </is>
      </c>
      <c r="B8" s="18" t="inlineStr">
        <is>
          <t>Q/E 2024-09-30</t>
        </is>
      </c>
      <c r="C8" s="29" t="n">
        <v>1682968</v>
      </c>
      <c r="D8" s="17" t="inlineStr">
        <is>
          <t>10-Q</t>
        </is>
      </c>
      <c r="E8" s="17" t="inlineStr">
        <is>
          <t>XBRL AccountsPayableCurrent | 0001375365-25-000005</t>
        </is>
      </c>
      <c r="F8" s="16" t="inlineStr">
        <is>
          <t>FILED</t>
        </is>
      </c>
    </row>
    <row r="9">
      <c r="A9" s="13" t="inlineStr">
        <is>
          <t>Accounts payable</t>
        </is>
      </c>
      <c r="B9" s="18" t="inlineStr">
        <is>
          <t>Q/E 2024-12-31</t>
        </is>
      </c>
      <c r="C9" s="29" t="n">
        <v>549323</v>
      </c>
      <c r="D9" s="17" t="inlineStr">
        <is>
          <t>10-Q</t>
        </is>
      </c>
      <c r="E9" s="17" t="inlineStr">
        <is>
          <t>XBRL AccountsPayableCurrent | 0001375365-25-000006</t>
        </is>
      </c>
      <c r="F9" s="16" t="inlineStr">
        <is>
          <t>FILED</t>
        </is>
      </c>
    </row>
    <row r="10">
      <c r="A10" s="13" t="inlineStr">
        <is>
          <t>Accounts payable</t>
        </is>
      </c>
      <c r="B10" s="18" t="inlineStr">
        <is>
          <t>Q/E 2025-03-31</t>
        </is>
      </c>
      <c r="C10" s="29" t="n">
        <v>643050</v>
      </c>
      <c r="D10" s="17" t="inlineStr">
        <is>
          <t>10-Q</t>
        </is>
      </c>
      <c r="E10" s="17" t="inlineStr">
        <is>
          <t>XBRL AccountsPayableCurrent | 0001375365-25-000014</t>
        </is>
      </c>
      <c r="F10" s="16" t="inlineStr">
        <is>
          <t>FILED</t>
        </is>
      </c>
    </row>
    <row r="11">
      <c r="A11" s="13" t="inlineStr">
        <is>
          <t>Accounts payable</t>
        </is>
      </c>
      <c r="B11" s="18" t="inlineStr">
        <is>
          <t>Q/E 2025-09-30</t>
        </is>
      </c>
      <c r="C11" s="29" t="n">
        <v>1279667</v>
      </c>
      <c r="D11" s="17" t="inlineStr">
        <is>
          <t>10-Q</t>
        </is>
      </c>
      <c r="E11" s="17" t="inlineStr">
        <is>
          <t>XBRL AccountsPayableCurrent | 0001375365-25-000030</t>
        </is>
      </c>
      <c r="F11" s="16" t="inlineStr">
        <is>
          <t>FILED</t>
        </is>
      </c>
    </row>
    <row r="12">
      <c r="A12" s="13" t="inlineStr">
        <is>
          <t>Accounts payable</t>
        </is>
      </c>
      <c r="B12" s="18" t="inlineStr">
        <is>
          <t>Q/E 2025-12-31</t>
        </is>
      </c>
      <c r="C12" s="29" t="n">
        <v>13753207</v>
      </c>
      <c r="D12" s="17" t="inlineStr">
        <is>
          <t>10-Q</t>
        </is>
      </c>
      <c r="E12" s="17" t="inlineStr">
        <is>
          <t>XBRL AccountsPayableCurrent | 0001375365-26-000007</t>
        </is>
      </c>
      <c r="F12" s="16" t="inlineStr">
        <is>
          <t>FILED</t>
        </is>
      </c>
    </row>
    <row r="13">
      <c r="A13" s="13" t="inlineStr">
        <is>
          <t>Accounts payable</t>
        </is>
      </c>
      <c r="B13" s="18" t="inlineStr">
        <is>
          <t>Q/E 2026-03-31</t>
        </is>
      </c>
      <c r="C13" s="29" t="n">
        <v>3686991</v>
      </c>
      <c r="D13" s="17" t="inlineStr">
        <is>
          <t>10-Q</t>
        </is>
      </c>
      <c r="E13" s="17" t="inlineStr">
        <is>
          <t>XBRL AccountsPayableCurrent | 0001375365-26-000014</t>
        </is>
      </c>
      <c r="F13" s="16" t="inlineStr">
        <is>
          <t>FILED</t>
        </is>
      </c>
    </row>
    <row r="14">
      <c r="A14" s="13" t="inlineStr">
        <is>
          <t>Accounts receivable, net</t>
        </is>
      </c>
      <c r="B14" s="18" t="inlineStr">
        <is>
          <t>FY2023</t>
        </is>
      </c>
      <c r="C14" s="29" t="n">
        <v>1148259</v>
      </c>
      <c r="D14" s="17" t="inlineStr">
        <is>
          <t>10-K</t>
        </is>
      </c>
      <c r="E14" s="17" t="inlineStr">
        <is>
          <t>XBRL AccountsReceivableNetCurrent | 0001375365-23-000036</t>
        </is>
      </c>
      <c r="F14" s="16" t="inlineStr">
        <is>
          <t>FILED</t>
        </is>
      </c>
    </row>
    <row r="15">
      <c r="A15" s="13" t="inlineStr">
        <is>
          <t>Accounts receivable, net</t>
        </is>
      </c>
      <c r="B15" s="18" t="inlineStr">
        <is>
          <t>FY2024</t>
        </is>
      </c>
      <c r="C15" s="29" t="n">
        <v>2737331</v>
      </c>
      <c r="D15" s="17" t="inlineStr">
        <is>
          <t>10-K</t>
        </is>
      </c>
      <c r="E15" s="17" t="inlineStr">
        <is>
          <t>XBRL AccountsReceivableNetCurrent | 0001375365-25-000004</t>
        </is>
      </c>
      <c r="F15" s="16" t="inlineStr">
        <is>
          <t>FILED</t>
        </is>
      </c>
    </row>
    <row r="16">
      <c r="A16" s="13" t="inlineStr">
        <is>
          <t>Accounts receivable, net</t>
        </is>
      </c>
      <c r="B16" s="18" t="inlineStr">
        <is>
          <t>FY2025</t>
        </is>
      </c>
      <c r="C16" s="29" t="n">
        <v>2203942</v>
      </c>
      <c r="D16" s="17" t="inlineStr">
        <is>
          <t>10-K</t>
        </is>
      </c>
      <c r="E16" s="17" t="inlineStr">
        <is>
          <t>XBRL AccountsReceivableNetCurrent | 0001375365-25-000027</t>
        </is>
      </c>
      <c r="F16" s="16" t="inlineStr">
        <is>
          <t>FILED</t>
        </is>
      </c>
    </row>
    <row r="17">
      <c r="A17" s="13" t="inlineStr">
        <is>
          <t>Accounts receivable, net</t>
        </is>
      </c>
      <c r="B17" s="18" t="inlineStr">
        <is>
          <t>Q/E 2024-09-30</t>
        </is>
      </c>
      <c r="C17" s="29" t="n">
        <v>2731740</v>
      </c>
      <c r="D17" s="17" t="inlineStr">
        <is>
          <t>10-Q</t>
        </is>
      </c>
      <c r="E17" s="17" t="inlineStr">
        <is>
          <t>XBRL AccountsReceivableNetCurrent | 0001375365-25-000005</t>
        </is>
      </c>
      <c r="F17" s="16" t="inlineStr">
        <is>
          <t>FILED</t>
        </is>
      </c>
    </row>
    <row r="18">
      <c r="A18" s="13" t="inlineStr">
        <is>
          <t>Accounts receivable, net</t>
        </is>
      </c>
      <c r="B18" s="18" t="inlineStr">
        <is>
          <t>Q/E 2024-12-31</t>
        </is>
      </c>
      <c r="C18" s="29" t="n">
        <v>3059510</v>
      </c>
      <c r="D18" s="17" t="inlineStr">
        <is>
          <t>10-Q</t>
        </is>
      </c>
      <c r="E18" s="17" t="inlineStr">
        <is>
          <t>XBRL AccountsReceivableNetCurrent | 0001375365-25-000006</t>
        </is>
      </c>
      <c r="F18" s="16" t="inlineStr">
        <is>
          <t>FILED</t>
        </is>
      </c>
    </row>
    <row r="19">
      <c r="A19" s="13" t="inlineStr">
        <is>
          <t>Accounts receivable, net</t>
        </is>
      </c>
      <c r="B19" s="18" t="inlineStr">
        <is>
          <t>Q/E 2025-03-31</t>
        </is>
      </c>
      <c r="C19" s="29" t="n">
        <v>2642556</v>
      </c>
      <c r="D19" s="17" t="inlineStr">
        <is>
          <t>10-Q</t>
        </is>
      </c>
      <c r="E19" s="17" t="inlineStr">
        <is>
          <t>XBRL AccountsReceivableNetCurrent | 0001375365-25-000014</t>
        </is>
      </c>
      <c r="F19" s="16" t="inlineStr">
        <is>
          <t>FILED</t>
        </is>
      </c>
    </row>
    <row r="20">
      <c r="A20" s="13" t="inlineStr">
        <is>
          <t>Accounts receivable, net</t>
        </is>
      </c>
      <c r="B20" s="18" t="inlineStr">
        <is>
          <t>Q/E 2025-09-30</t>
        </is>
      </c>
      <c r="C20" s="29" t="n">
        <v>2525039</v>
      </c>
      <c r="D20" s="17" t="inlineStr">
        <is>
          <t>10-Q</t>
        </is>
      </c>
      <c r="E20" s="17" t="inlineStr">
        <is>
          <t>XBRL AccountsReceivableNetCurrent | 0001375365-25-000030</t>
        </is>
      </c>
      <c r="F20" s="16" t="inlineStr">
        <is>
          <t>FILED</t>
        </is>
      </c>
    </row>
    <row r="21">
      <c r="A21" s="13" t="inlineStr">
        <is>
          <t>Accounts receivable, net</t>
        </is>
      </c>
      <c r="B21" s="18" t="inlineStr">
        <is>
          <t>Q/E 2025-12-31</t>
        </is>
      </c>
      <c r="C21" s="29" t="n">
        <v>11004122</v>
      </c>
      <c r="D21" s="17" t="inlineStr">
        <is>
          <t>10-Q</t>
        </is>
      </c>
      <c r="E21" s="17" t="inlineStr">
        <is>
          <t>XBRL AccountsReceivableNetCurrent | 0001375365-26-000007</t>
        </is>
      </c>
      <c r="F21" s="16" t="inlineStr">
        <is>
          <t>FILED</t>
        </is>
      </c>
    </row>
    <row r="22">
      <c r="A22" s="13" t="inlineStr">
        <is>
          <t>Accounts receivable, net</t>
        </is>
      </c>
      <c r="B22" s="18" t="inlineStr">
        <is>
          <t>Q/E 2026-03-31</t>
        </is>
      </c>
      <c r="C22" s="29" t="n">
        <v>8413396</v>
      </c>
      <c r="D22" s="17" t="inlineStr">
        <is>
          <t>10-Q</t>
        </is>
      </c>
      <c r="E22" s="17" t="inlineStr">
        <is>
          <t>XBRL AccountsReceivableNetCurrent | 0001375365-26-000014</t>
        </is>
      </c>
      <c r="F22" s="16" t="inlineStr">
        <is>
          <t>FILED</t>
        </is>
      </c>
    </row>
    <row r="23">
      <c r="A23" s="13" t="inlineStr">
        <is>
          <t>Accrued liabilities</t>
        </is>
      </c>
      <c r="B23" s="18" t="inlineStr">
        <is>
          <t>FY2023</t>
        </is>
      </c>
      <c r="C23" s="29" t="n">
        <v>163865</v>
      </c>
      <c r="D23" s="17" t="inlineStr">
        <is>
          <t>10-K</t>
        </is>
      </c>
      <c r="E23" s="17" t="inlineStr">
        <is>
          <t>XBRL AccruedLiabilitiesCurrent | 0001375365-23-000036</t>
        </is>
      </c>
      <c r="F23" s="16" t="inlineStr">
        <is>
          <t>FILED</t>
        </is>
      </c>
    </row>
    <row r="24">
      <c r="A24" s="13" t="inlineStr">
        <is>
          <t>Accrued liabilities</t>
        </is>
      </c>
      <c r="B24" s="18" t="inlineStr">
        <is>
          <t>FY2024</t>
        </is>
      </c>
      <c r="C24" s="29" t="n">
        <v>259674</v>
      </c>
      <c r="D24" s="17" t="inlineStr">
        <is>
          <t>10-K</t>
        </is>
      </c>
      <c r="E24" s="17" t="inlineStr">
        <is>
          <t>XBRL AccruedLiabilitiesCurrent | 0001375365-25-000004</t>
        </is>
      </c>
      <c r="F24" s="16" t="inlineStr">
        <is>
          <t>FILED</t>
        </is>
      </c>
    </row>
    <row r="25">
      <c r="A25" s="13" t="inlineStr">
        <is>
          <t>Accrued liabilities</t>
        </is>
      </c>
      <c r="B25" s="18" t="inlineStr">
        <is>
          <t>FY2025</t>
        </is>
      </c>
      <c r="C25" s="29" t="n">
        <v>565637</v>
      </c>
      <c r="D25" s="17" t="inlineStr">
        <is>
          <t>10-K</t>
        </is>
      </c>
      <c r="E25" s="17" t="inlineStr">
        <is>
          <t>XBRL AccruedLiabilitiesCurrent | 0001375365-25-000027</t>
        </is>
      </c>
      <c r="F25" s="16" t="inlineStr">
        <is>
          <t>FILED</t>
        </is>
      </c>
    </row>
    <row r="26">
      <c r="A26" s="13" t="inlineStr">
        <is>
          <t>Accrued liabilities</t>
        </is>
      </c>
      <c r="B26" s="18" t="inlineStr">
        <is>
          <t>Q/E 2024-09-30</t>
        </is>
      </c>
      <c r="C26" s="29" t="n">
        <v>308777</v>
      </c>
      <c r="D26" s="17" t="inlineStr">
        <is>
          <t>10-Q</t>
        </is>
      </c>
      <c r="E26" s="17" t="inlineStr">
        <is>
          <t>XBRL AccruedLiabilitiesCurrent | 0001375365-25-000005</t>
        </is>
      </c>
      <c r="F26" s="16" t="inlineStr">
        <is>
          <t>FILED</t>
        </is>
      </c>
    </row>
    <row r="27">
      <c r="A27" s="13" t="inlineStr">
        <is>
          <t>Accrued liabilities</t>
        </is>
      </c>
      <c r="B27" s="18" t="inlineStr">
        <is>
          <t>Q/E 2024-12-31</t>
        </is>
      </c>
      <c r="C27" s="29" t="n">
        <v>229147</v>
      </c>
      <c r="D27" s="17" t="inlineStr">
        <is>
          <t>10-Q</t>
        </is>
      </c>
      <c r="E27" s="17" t="inlineStr">
        <is>
          <t>XBRL AccruedLiabilitiesCurrent | 0001375365-25-000006</t>
        </is>
      </c>
      <c r="F27" s="16" t="inlineStr">
        <is>
          <t>FILED</t>
        </is>
      </c>
    </row>
    <row r="28">
      <c r="A28" s="13" t="inlineStr">
        <is>
          <t>Accrued liabilities</t>
        </is>
      </c>
      <c r="B28" s="18" t="inlineStr">
        <is>
          <t>Q/E 2025-03-31</t>
        </is>
      </c>
      <c r="C28" s="29" t="n">
        <v>344679</v>
      </c>
      <c r="D28" s="17" t="inlineStr">
        <is>
          <t>10-Q</t>
        </is>
      </c>
      <c r="E28" s="17" t="inlineStr">
        <is>
          <t>XBRL AccruedLiabilitiesCurrent | 0001375365-25-000014</t>
        </is>
      </c>
      <c r="F28" s="16" t="inlineStr">
        <is>
          <t>FILED</t>
        </is>
      </c>
    </row>
    <row r="29">
      <c r="A29" s="13" t="inlineStr">
        <is>
          <t>Accrued liabilities</t>
        </is>
      </c>
      <c r="B29" s="18" t="inlineStr">
        <is>
          <t>Q/E 2025-09-30</t>
        </is>
      </c>
      <c r="C29" s="29" t="n">
        <v>313393</v>
      </c>
      <c r="D29" s="17" t="inlineStr">
        <is>
          <t>10-Q</t>
        </is>
      </c>
      <c r="E29" s="17" t="inlineStr">
        <is>
          <t>XBRL AccruedLiabilitiesCurrent | 0001375365-25-000030</t>
        </is>
      </c>
      <c r="F29" s="16" t="inlineStr">
        <is>
          <t>FILED</t>
        </is>
      </c>
    </row>
    <row r="30">
      <c r="A30" s="13" t="inlineStr">
        <is>
          <t>Accrued liabilities</t>
        </is>
      </c>
      <c r="B30" s="18" t="inlineStr">
        <is>
          <t>Q/E 2025-12-31</t>
        </is>
      </c>
      <c r="C30" s="29" t="n">
        <v>548179</v>
      </c>
      <c r="D30" s="17" t="inlineStr">
        <is>
          <t>10-Q</t>
        </is>
      </c>
      <c r="E30" s="17" t="inlineStr">
        <is>
          <t>XBRL AccruedLiabilitiesCurrent | 0001375365-26-000007</t>
        </is>
      </c>
      <c r="F30" s="16" t="inlineStr">
        <is>
          <t>FILED</t>
        </is>
      </c>
    </row>
    <row r="31">
      <c r="A31" s="13" t="inlineStr">
        <is>
          <t>Accrued liabilities</t>
        </is>
      </c>
      <c r="B31" s="18" t="inlineStr">
        <is>
          <t>Q/E 2026-03-31</t>
        </is>
      </c>
      <c r="C31" s="29" t="n">
        <v>830007</v>
      </c>
      <c r="D31" s="17" t="inlineStr">
        <is>
          <t>10-Q</t>
        </is>
      </c>
      <c r="E31" s="17" t="inlineStr">
        <is>
          <t>XBRL AccruedLiabilitiesCurrent | 0001375365-26-000014</t>
        </is>
      </c>
      <c r="F31" s="16" t="inlineStr">
        <is>
          <t>FILED</t>
        </is>
      </c>
    </row>
    <row r="32">
      <c r="A32" s="13" t="inlineStr">
        <is>
          <t>Cash &amp; equivalents</t>
        </is>
      </c>
      <c r="B32" s="18" t="inlineStr">
        <is>
          <t>FY2023</t>
        </is>
      </c>
      <c r="C32" s="29" t="n">
        <v>440459</v>
      </c>
      <c r="D32" s="17" t="inlineStr">
        <is>
          <t>10-K</t>
        </is>
      </c>
      <c r="E32" s="17" t="inlineStr">
        <is>
          <t>XBRL CashAndCashEquivalentsAtCarryingValue | 0001375365-23-000036</t>
        </is>
      </c>
      <c r="F32" s="16" t="inlineStr">
        <is>
          <t>FILED</t>
        </is>
      </c>
    </row>
    <row r="33">
      <c r="A33" s="13" t="inlineStr">
        <is>
          <t>Cash &amp; equivalents</t>
        </is>
      </c>
      <c r="B33" s="18" t="inlineStr">
        <is>
          <t>FY2024</t>
        </is>
      </c>
      <c r="C33" s="29" t="n">
        <v>1669766</v>
      </c>
      <c r="D33" s="17" t="inlineStr">
        <is>
          <t>10-K</t>
        </is>
      </c>
      <c r="E33" s="17" t="inlineStr">
        <is>
          <t>XBRL CashAndCashEquivalentsAtCarryingValue | 0001375365-25-000004</t>
        </is>
      </c>
      <c r="F33" s="16" t="inlineStr">
        <is>
          <t>FILED</t>
        </is>
      </c>
    </row>
    <row r="34">
      <c r="A34" s="13" t="inlineStr">
        <is>
          <t>Cash &amp; equivalents</t>
        </is>
      </c>
      <c r="B34" s="18" t="inlineStr">
        <is>
          <t>FY2025</t>
        </is>
      </c>
      <c r="C34" s="29" t="n">
        <v>5169911</v>
      </c>
      <c r="D34" s="17" t="inlineStr">
        <is>
          <t>10-K</t>
        </is>
      </c>
      <c r="E34" s="17" t="inlineStr">
        <is>
          <t>XBRL CashAndCashEquivalentsAtCarryingValue | 0001375365-25-000027</t>
        </is>
      </c>
      <c r="F34" s="16" t="inlineStr">
        <is>
          <t>FILED</t>
        </is>
      </c>
    </row>
    <row r="35">
      <c r="A35" s="13" t="inlineStr">
        <is>
          <t>Cash &amp; equivalents</t>
        </is>
      </c>
      <c r="B35" s="18" t="inlineStr">
        <is>
          <t>Q/E 2024-09-30</t>
        </is>
      </c>
      <c r="C35" s="29" t="n">
        <v>2088718</v>
      </c>
      <c r="D35" s="17" t="inlineStr">
        <is>
          <t>10-Q</t>
        </is>
      </c>
      <c r="E35" s="17" t="inlineStr">
        <is>
          <t>XBRL CashAndCashEquivalentsAtCarryingValue | 0001375365-25-000005</t>
        </is>
      </c>
      <c r="F35" s="16" t="inlineStr">
        <is>
          <t>FILED</t>
        </is>
      </c>
    </row>
    <row r="36">
      <c r="A36" s="13" t="inlineStr">
        <is>
          <t>Cash &amp; equivalents</t>
        </is>
      </c>
      <c r="B36" s="18" t="inlineStr">
        <is>
          <t>Q/E 2024-12-31</t>
        </is>
      </c>
      <c r="C36" s="29" t="n">
        <v>1430002</v>
      </c>
      <c r="D36" s="17" t="inlineStr">
        <is>
          <t>10-Q</t>
        </is>
      </c>
      <c r="E36" s="17" t="inlineStr">
        <is>
          <t>XBRL CashAndCashEquivalentsAtCarryingValue | 0001375365-25-000006</t>
        </is>
      </c>
      <c r="F36" s="16" t="inlineStr">
        <is>
          <t>FILED</t>
        </is>
      </c>
    </row>
    <row r="37">
      <c r="A37" s="13" t="inlineStr">
        <is>
          <t>Cash &amp; equivalents</t>
        </is>
      </c>
      <c r="B37" s="18" t="inlineStr">
        <is>
          <t>Q/E 2025-03-31</t>
        </is>
      </c>
      <c r="C37" s="29" t="n">
        <v>2536101</v>
      </c>
      <c r="D37" s="17" t="inlineStr">
        <is>
          <t>10-Q</t>
        </is>
      </c>
      <c r="E37" s="17" t="inlineStr">
        <is>
          <t>XBRL CashAndCashEquivalentsAtCarryingValue | 0001375365-25-000014</t>
        </is>
      </c>
      <c r="F37" s="16" t="inlineStr">
        <is>
          <t>FILED</t>
        </is>
      </c>
    </row>
    <row r="38">
      <c r="A38" s="13" t="inlineStr">
        <is>
          <t>Cash &amp; equivalents</t>
        </is>
      </c>
      <c r="B38" s="18" t="inlineStr">
        <is>
          <t>Q/E 2025-09-30</t>
        </is>
      </c>
      <c r="C38" s="29" t="n">
        <v>4196867</v>
      </c>
      <c r="D38" s="17" t="inlineStr">
        <is>
          <t>10-Q</t>
        </is>
      </c>
      <c r="E38" s="17" t="inlineStr">
        <is>
          <t>XBRL CashAndCashEquivalentsAtCarryingValue | 0001375365-25-000030</t>
        </is>
      </c>
      <c r="F38" s="16" t="inlineStr">
        <is>
          <t>FILED</t>
        </is>
      </c>
    </row>
    <row r="39">
      <c r="A39" s="13" t="inlineStr">
        <is>
          <t>Cash &amp; equivalents</t>
        </is>
      </c>
      <c r="B39" s="18" t="inlineStr">
        <is>
          <t>Q/E 2025-12-31</t>
        </is>
      </c>
      <c r="C39" s="29" t="n">
        <v>4091083</v>
      </c>
      <c r="D39" s="17" t="inlineStr">
        <is>
          <t>10-Q</t>
        </is>
      </c>
      <c r="E39" s="17" t="inlineStr">
        <is>
          <t>XBRL CashAndCashEquivalentsAtCarryingValue | 0001375365-26-000007</t>
        </is>
      </c>
      <c r="F39" s="16" t="inlineStr">
        <is>
          <t>FILED</t>
        </is>
      </c>
    </row>
    <row r="40">
      <c r="A40" s="13" t="inlineStr">
        <is>
          <t>Cash &amp; equivalents</t>
        </is>
      </c>
      <c r="B40" s="18" t="inlineStr">
        <is>
          <t>Q/E 2026-03-31</t>
        </is>
      </c>
      <c r="C40" s="29" t="n">
        <v>1290324</v>
      </c>
      <c r="D40" s="17" t="inlineStr">
        <is>
          <t>10-Q</t>
        </is>
      </c>
      <c r="E40" s="17" t="inlineStr">
        <is>
          <t>XBRL CashAndCashEquivalentsAtCarryingValue | 0001375365-26-000014</t>
        </is>
      </c>
      <c r="F40" s="16" t="inlineStr">
        <is>
          <t>FILED</t>
        </is>
      </c>
    </row>
    <row r="41">
      <c r="A41" s="13" t="inlineStr">
        <is>
          <t>Convertible notes</t>
        </is>
      </c>
      <c r="B41" s="18" t="inlineStr">
        <is>
          <t>FY2023</t>
        </is>
      </c>
      <c r="C41" s="29" t="n">
        <v>0</v>
      </c>
      <c r="D41" s="17" t="inlineStr">
        <is>
          <t>SMCI FY2024 10-K</t>
        </is>
      </c>
      <c r="E41" s="17" t="inlineStr">
        <is>
          <t>No convertibles outstanding pre-FY2024</t>
        </is>
      </c>
      <c r="F41" s="16" t="inlineStr">
        <is>
          <t>FILED</t>
        </is>
      </c>
    </row>
    <row r="42">
      <c r="A42" s="13" t="inlineStr">
        <is>
          <t>Convertible notes</t>
        </is>
      </c>
      <c r="B42" s="18" t="inlineStr">
        <is>
          <t>FY2024</t>
        </is>
      </c>
      <c r="C42" s="29" t="n">
        <v>1697716</v>
      </c>
      <c r="D42" s="17" t="inlineStr">
        <is>
          <t>SMCI FY2025 10-K</t>
        </is>
      </c>
      <c r="E42" s="17" t="inlineStr">
        <is>
          <t>Consolidated Balance Sheets (XBRL ConvertibleLongTermNotesPayable)</t>
        </is>
      </c>
      <c r="F42" s="16" t="inlineStr">
        <is>
          <t>FILED</t>
        </is>
      </c>
    </row>
    <row r="43">
      <c r="A43" s="13" t="inlineStr">
        <is>
          <t>Convertible notes</t>
        </is>
      </c>
      <c r="B43" s="18" t="inlineStr">
        <is>
          <t>FY2025</t>
        </is>
      </c>
      <c r="C43" s="29" t="n">
        <v>4645178</v>
      </c>
      <c r="D43" s="17" t="inlineStr">
        <is>
          <t>SMCI FY2025 10-K</t>
        </is>
      </c>
      <c r="E43" s="17" t="inlineStr">
        <is>
          <t>Consolidated Balance Sheets (XBRL ConvertibleLongTermNotesPayable)</t>
        </is>
      </c>
      <c r="F43" s="16" t="inlineStr">
        <is>
          <t>FILED</t>
        </is>
      </c>
    </row>
    <row r="44">
      <c r="A44" s="13" t="inlineStr">
        <is>
          <t>Deferred revenue, current</t>
        </is>
      </c>
      <c r="B44" s="18" t="inlineStr">
        <is>
          <t>FY2023</t>
        </is>
      </c>
      <c r="C44" s="29" t="n">
        <v>134667</v>
      </c>
      <c r="D44" s="17" t="inlineStr">
        <is>
          <t>10-K</t>
        </is>
      </c>
      <c r="E44" s="17" t="inlineStr">
        <is>
          <t>XBRL ContractWithCustomerLiabilityCurrent | 0001375365-23-000036</t>
        </is>
      </c>
      <c r="F44" s="16" t="inlineStr">
        <is>
          <t>FILED</t>
        </is>
      </c>
    </row>
    <row r="45">
      <c r="A45" s="13" t="inlineStr">
        <is>
          <t>Deferred revenue, current</t>
        </is>
      </c>
      <c r="B45" s="18" t="inlineStr">
        <is>
          <t>FY2024</t>
        </is>
      </c>
      <c r="C45" s="29" t="n">
        <v>193052</v>
      </c>
      <c r="D45" s="17" t="inlineStr">
        <is>
          <t>10-K</t>
        </is>
      </c>
      <c r="E45" s="17" t="inlineStr">
        <is>
          <t>XBRL ContractWithCustomerLiabilityCurrent | 0001375365-25-000004</t>
        </is>
      </c>
      <c r="F45" s="16" t="inlineStr">
        <is>
          <t>FILED</t>
        </is>
      </c>
    </row>
    <row r="46">
      <c r="A46" s="13" t="inlineStr">
        <is>
          <t>Deferred revenue, current</t>
        </is>
      </c>
      <c r="B46" s="18" t="inlineStr">
        <is>
          <t>FY2025</t>
        </is>
      </c>
      <c r="C46" s="29" t="n">
        <v>368737</v>
      </c>
      <c r="D46" s="17" t="inlineStr">
        <is>
          <t>10-K</t>
        </is>
      </c>
      <c r="E46" s="17" t="inlineStr">
        <is>
          <t>XBRL ContractWithCustomerLiabilityCurrent | 0001375365-25-000027</t>
        </is>
      </c>
      <c r="F46" s="16" t="inlineStr">
        <is>
          <t>FILED</t>
        </is>
      </c>
    </row>
    <row r="47">
      <c r="A47" s="13" t="inlineStr">
        <is>
          <t>Deferred revenue, current</t>
        </is>
      </c>
      <c r="B47" s="18" t="inlineStr">
        <is>
          <t>Q/E 2024-09-30</t>
        </is>
      </c>
      <c r="C47" s="29" t="n">
        <v>305840</v>
      </c>
      <c r="D47" s="17" t="inlineStr">
        <is>
          <t>10-Q</t>
        </is>
      </c>
      <c r="E47" s="17" t="inlineStr">
        <is>
          <t>XBRL ContractWithCustomerLiabilityCurrent | 0001375365-25-000005</t>
        </is>
      </c>
      <c r="F47" s="16" t="inlineStr">
        <is>
          <t>FILED</t>
        </is>
      </c>
    </row>
    <row r="48">
      <c r="A48" s="13" t="inlineStr">
        <is>
          <t>Deferred revenue, current</t>
        </is>
      </c>
      <c r="B48" s="18" t="inlineStr">
        <is>
          <t>Q/E 2024-12-31</t>
        </is>
      </c>
      <c r="C48" s="29" t="n">
        <v>309238</v>
      </c>
      <c r="D48" s="17" t="inlineStr">
        <is>
          <t>10-Q</t>
        </is>
      </c>
      <c r="E48" s="17" t="inlineStr">
        <is>
          <t>XBRL ContractWithCustomerLiabilityCurrent | 0001375365-25-000006</t>
        </is>
      </c>
      <c r="F48" s="16" t="inlineStr">
        <is>
          <t>FILED</t>
        </is>
      </c>
    </row>
    <row r="49">
      <c r="A49" s="13" t="inlineStr">
        <is>
          <t>Deferred revenue, current</t>
        </is>
      </c>
      <c r="B49" s="18" t="inlineStr">
        <is>
          <t>Q/E 2025-03-31</t>
        </is>
      </c>
      <c r="C49" s="29" t="n">
        <v>352803</v>
      </c>
      <c r="D49" s="17" t="inlineStr">
        <is>
          <t>10-Q</t>
        </is>
      </c>
      <c r="E49" s="17" t="inlineStr">
        <is>
          <t>XBRL ContractWithCustomerLiabilityCurrent | 0001375365-25-000014</t>
        </is>
      </c>
      <c r="F49" s="16" t="inlineStr">
        <is>
          <t>FILED</t>
        </is>
      </c>
    </row>
    <row r="50">
      <c r="A50" s="13" t="inlineStr">
        <is>
          <t>Deferred revenue, current</t>
        </is>
      </c>
      <c r="B50" s="18" t="inlineStr">
        <is>
          <t>Q/E 2025-09-30</t>
        </is>
      </c>
      <c r="C50" s="29" t="n">
        <v>597322</v>
      </c>
      <c r="D50" s="17" t="inlineStr">
        <is>
          <t>10-Q</t>
        </is>
      </c>
      <c r="E50" s="17" t="inlineStr">
        <is>
          <t>XBRL ContractWithCustomerLiabilityCurrent | 0001375365-25-000030</t>
        </is>
      </c>
      <c r="F50" s="16" t="inlineStr">
        <is>
          <t>FILED</t>
        </is>
      </c>
    </row>
    <row r="51">
      <c r="A51" s="13" t="inlineStr">
        <is>
          <t>Deferred revenue, current</t>
        </is>
      </c>
      <c r="B51" s="18" t="inlineStr">
        <is>
          <t>Q/E 2025-12-31</t>
        </is>
      </c>
      <c r="C51" s="29" t="n">
        <v>774846</v>
      </c>
      <c r="D51" s="17" t="inlineStr">
        <is>
          <t>10-Q</t>
        </is>
      </c>
      <c r="E51" s="17" t="inlineStr">
        <is>
          <t>XBRL ContractWithCustomerLiabilityCurrent | 0001375365-26-000007</t>
        </is>
      </c>
      <c r="F51" s="16" t="inlineStr">
        <is>
          <t>FILED</t>
        </is>
      </c>
    </row>
    <row r="52">
      <c r="A52" s="13" t="inlineStr">
        <is>
          <t>Deferred revenue, current</t>
        </is>
      </c>
      <c r="B52" s="18" t="inlineStr">
        <is>
          <t>Q/E 2026-03-31</t>
        </is>
      </c>
      <c r="C52" s="29" t="n">
        <v>1472235</v>
      </c>
      <c r="D52" s="17" t="inlineStr">
        <is>
          <t>10-Q</t>
        </is>
      </c>
      <c r="E52" s="17" t="inlineStr">
        <is>
          <t>XBRL ContractWithCustomerLiabilityCurrent | 0001375365-26-000014</t>
        </is>
      </c>
      <c r="F52" s="16" t="inlineStr">
        <is>
          <t>FILED</t>
        </is>
      </c>
    </row>
    <row r="53">
      <c r="A53" s="13" t="inlineStr">
        <is>
          <t>Inventories, net</t>
        </is>
      </c>
      <c r="B53" s="18" t="inlineStr">
        <is>
          <t>FY2023</t>
        </is>
      </c>
      <c r="C53" s="29" t="n">
        <v>1445564</v>
      </c>
      <c r="D53" s="17" t="inlineStr">
        <is>
          <t>10-K</t>
        </is>
      </c>
      <c r="E53" s="17" t="inlineStr">
        <is>
          <t>XBRL InventoryNet | 0001375365-23-000036</t>
        </is>
      </c>
      <c r="F53" s="16" t="inlineStr">
        <is>
          <t>FILED</t>
        </is>
      </c>
    </row>
    <row r="54">
      <c r="A54" s="13" t="inlineStr">
        <is>
          <t>Inventories, net</t>
        </is>
      </c>
      <c r="B54" s="18" t="inlineStr">
        <is>
          <t>FY2024</t>
        </is>
      </c>
      <c r="C54" s="29" t="n">
        <v>4333029</v>
      </c>
      <c r="D54" s="17" t="inlineStr">
        <is>
          <t>10-K</t>
        </is>
      </c>
      <c r="E54" s="17" t="inlineStr">
        <is>
          <t>XBRL InventoryNet | 0001375365-25-000004</t>
        </is>
      </c>
      <c r="F54" s="16" t="inlineStr">
        <is>
          <t>FILED</t>
        </is>
      </c>
    </row>
    <row r="55">
      <c r="A55" s="13" t="inlineStr">
        <is>
          <t>Inventories, net</t>
        </is>
      </c>
      <c r="B55" s="18" t="inlineStr">
        <is>
          <t>FY2025</t>
        </is>
      </c>
      <c r="C55" s="29" t="n">
        <v>4680375</v>
      </c>
      <c r="D55" s="17" t="inlineStr">
        <is>
          <t>10-K</t>
        </is>
      </c>
      <c r="E55" s="17" t="inlineStr">
        <is>
          <t>XBRL InventoryNet | 0001375365-25-000027</t>
        </is>
      </c>
      <c r="F55" s="16" t="inlineStr">
        <is>
          <t>FILED</t>
        </is>
      </c>
    </row>
    <row r="56">
      <c r="A56" s="13" t="inlineStr">
        <is>
          <t>Inventories, net</t>
        </is>
      </c>
      <c r="B56" s="18" t="inlineStr">
        <is>
          <t>Q/E 2024-09-30</t>
        </is>
      </c>
      <c r="C56" s="29" t="n">
        <v>4930623</v>
      </c>
      <c r="D56" s="17" t="inlineStr">
        <is>
          <t>10-Q</t>
        </is>
      </c>
      <c r="E56" s="17" t="inlineStr">
        <is>
          <t>XBRL InventoryNet | 0001375365-25-000005</t>
        </is>
      </c>
      <c r="F56" s="16" t="inlineStr">
        <is>
          <t>FILED</t>
        </is>
      </c>
    </row>
    <row r="57">
      <c r="A57" s="13" t="inlineStr">
        <is>
          <t>Inventories, net</t>
        </is>
      </c>
      <c r="B57" s="18" t="inlineStr">
        <is>
          <t>Q/E 2024-12-31</t>
        </is>
      </c>
      <c r="C57" s="29" t="n">
        <v>3596145</v>
      </c>
      <c r="D57" s="17" t="inlineStr">
        <is>
          <t>10-Q</t>
        </is>
      </c>
      <c r="E57" s="17" t="inlineStr">
        <is>
          <t>XBRL InventoryNet | 0001375365-25-000006</t>
        </is>
      </c>
      <c r="F57" s="16" t="inlineStr">
        <is>
          <t>FILED</t>
        </is>
      </c>
    </row>
    <row r="58">
      <c r="A58" s="13" t="inlineStr">
        <is>
          <t>Inventories, net</t>
        </is>
      </c>
      <c r="B58" s="18" t="inlineStr">
        <is>
          <t>Q/E 2025-03-31</t>
        </is>
      </c>
      <c r="C58" s="29" t="n">
        <v>3870243</v>
      </c>
      <c r="D58" s="17" t="inlineStr">
        <is>
          <t>10-Q</t>
        </is>
      </c>
      <c r="E58" s="17" t="inlineStr">
        <is>
          <t>XBRL InventoryNet | 0001375365-25-000014</t>
        </is>
      </c>
      <c r="F58" s="16" t="inlineStr">
        <is>
          <t>FILED</t>
        </is>
      </c>
    </row>
    <row r="59">
      <c r="A59" s="13" t="inlineStr">
        <is>
          <t>Inventories, net</t>
        </is>
      </c>
      <c r="B59" s="18" t="inlineStr">
        <is>
          <t>Q/E 2025-09-30</t>
        </is>
      </c>
      <c r="C59" s="29" t="n">
        <v>5730002</v>
      </c>
      <c r="D59" s="17" t="inlineStr">
        <is>
          <t>10-Q</t>
        </is>
      </c>
      <c r="E59" s="17" t="inlineStr">
        <is>
          <t>XBRL InventoryNet | 0001375365-25-000030</t>
        </is>
      </c>
      <c r="F59" s="16" t="inlineStr">
        <is>
          <t>FILED</t>
        </is>
      </c>
    </row>
    <row r="60">
      <c r="A60" s="13" t="inlineStr">
        <is>
          <t>Inventories, net</t>
        </is>
      </c>
      <c r="B60" s="18" t="inlineStr">
        <is>
          <t>Q/E 2025-12-31</t>
        </is>
      </c>
      <c r="C60" s="29" t="n">
        <v>10595448</v>
      </c>
      <c r="D60" s="17" t="inlineStr">
        <is>
          <t>10-Q</t>
        </is>
      </c>
      <c r="E60" s="17" t="inlineStr">
        <is>
          <t>XBRL InventoryNet | 0001375365-26-000007</t>
        </is>
      </c>
      <c r="F60" s="16" t="inlineStr">
        <is>
          <t>FILED</t>
        </is>
      </c>
    </row>
    <row r="61">
      <c r="A61" s="13" t="inlineStr">
        <is>
          <t>Inventories, net</t>
        </is>
      </c>
      <c r="B61" s="18" t="inlineStr">
        <is>
          <t>Q/E 2026-03-31</t>
        </is>
      </c>
      <c r="C61" s="29" t="n">
        <v>11103376</v>
      </c>
      <c r="D61" s="17" t="inlineStr">
        <is>
          <t>10-Q</t>
        </is>
      </c>
      <c r="E61" s="17" t="inlineStr">
        <is>
          <t>XBRL InventoryNet | 0001375365-26-000014</t>
        </is>
      </c>
      <c r="F61" s="16" t="inlineStr">
        <is>
          <t>FILED</t>
        </is>
      </c>
    </row>
    <row r="62">
      <c r="A62" s="13" t="inlineStr">
        <is>
          <t>Inventory - E&amp;O reserve</t>
        </is>
      </c>
      <c r="B62" s="18" t="inlineStr">
        <is>
          <t>FY2025</t>
        </is>
      </c>
      <c r="C62" s="33" t="n"/>
      <c r="D62" s="17" t="inlineStr">
        <is>
          <t>SMCI FY2025 10-K</t>
        </is>
      </c>
      <c r="E62" s="17" t="inlineStr">
        <is>
          <t>Note 6 - NOT SEPARATELY DISCLOSED (inventory stated net; disclosure gap)</t>
        </is>
      </c>
      <c r="F62" s="16" t="inlineStr">
        <is>
          <t>NOT_DISCLOSED</t>
        </is>
      </c>
    </row>
    <row r="63">
      <c r="A63" s="13" t="inlineStr">
        <is>
          <t>Inventory - finished goods</t>
        </is>
      </c>
      <c r="B63" s="18" t="inlineStr">
        <is>
          <t>FY2024</t>
        </is>
      </c>
      <c r="C63" s="29" t="n">
        <v>3312768</v>
      </c>
      <c r="D63" s="17" t="inlineStr">
        <is>
          <t>SMCI FY2025 10-K</t>
        </is>
      </c>
      <c r="E63" s="17" t="inlineStr">
        <is>
          <t>Note 6 Balance Sheet Components, Inventories</t>
        </is>
      </c>
      <c r="F63" s="16" t="inlineStr">
        <is>
          <t>FILED</t>
        </is>
      </c>
    </row>
    <row r="64">
      <c r="A64" s="13" t="inlineStr">
        <is>
          <t>Inventory - finished goods</t>
        </is>
      </c>
      <c r="B64" s="18" t="inlineStr">
        <is>
          <t>FY2025</t>
        </is>
      </c>
      <c r="C64" s="29" t="n">
        <v>3465352</v>
      </c>
      <c r="D64" s="17" t="inlineStr">
        <is>
          <t>SMCI FY2025 10-K</t>
        </is>
      </c>
      <c r="E64" s="17" t="inlineStr">
        <is>
          <t>Note 6 Balance Sheet Components, Inventories</t>
        </is>
      </c>
      <c r="F64" s="16" t="inlineStr">
        <is>
          <t>FILED</t>
        </is>
      </c>
    </row>
    <row r="65">
      <c r="A65" s="13" t="inlineStr">
        <is>
          <t>Inventory - purchased parts and raw materials</t>
        </is>
      </c>
      <c r="B65" s="18" t="inlineStr">
        <is>
          <t>FY2024</t>
        </is>
      </c>
      <c r="C65" s="29" t="n">
        <v>569268</v>
      </c>
      <c r="D65" s="17" t="inlineStr">
        <is>
          <t>SMCI FY2025 10-K</t>
        </is>
      </c>
      <c r="E65" s="17" t="inlineStr">
        <is>
          <t>Note 6 Balance Sheet Components, Inventories</t>
        </is>
      </c>
      <c r="F65" s="16" t="inlineStr">
        <is>
          <t>FILED</t>
        </is>
      </c>
    </row>
    <row r="66">
      <c r="A66" s="13" t="inlineStr">
        <is>
          <t>Inventory - purchased parts and raw materials</t>
        </is>
      </c>
      <c r="B66" s="18" t="inlineStr">
        <is>
          <t>FY2025</t>
        </is>
      </c>
      <c r="C66" s="29" t="n">
        <v>540410</v>
      </c>
      <c r="D66" s="17" t="inlineStr">
        <is>
          <t>SMCI FY2025 10-K</t>
        </is>
      </c>
      <c r="E66" s="17" t="inlineStr">
        <is>
          <t>Note 6 Balance Sheet Components, Inventories</t>
        </is>
      </c>
      <c r="F66" s="16" t="inlineStr">
        <is>
          <t>FILED</t>
        </is>
      </c>
    </row>
    <row r="67">
      <c r="A67" s="13" t="inlineStr">
        <is>
          <t>Inventory - work in process</t>
        </is>
      </c>
      <c r="B67" s="18" t="inlineStr">
        <is>
          <t>FY2024</t>
        </is>
      </c>
      <c r="C67" s="29" t="n">
        <v>450993</v>
      </c>
      <c r="D67" s="17" t="inlineStr">
        <is>
          <t>SMCI FY2025 10-K</t>
        </is>
      </c>
      <c r="E67" s="17" t="inlineStr">
        <is>
          <t>Note 6 Balance Sheet Components, Inventories</t>
        </is>
      </c>
      <c r="F67" s="16" t="inlineStr">
        <is>
          <t>FILED</t>
        </is>
      </c>
    </row>
    <row r="68">
      <c r="A68" s="13" t="inlineStr">
        <is>
          <t>Inventory - work in process</t>
        </is>
      </c>
      <c r="B68" s="18" t="inlineStr">
        <is>
          <t>FY2025</t>
        </is>
      </c>
      <c r="C68" s="29" t="n">
        <v>674613</v>
      </c>
      <c r="D68" s="17" t="inlineStr">
        <is>
          <t>SMCI FY2025 10-K</t>
        </is>
      </c>
      <c r="E68" s="17" t="inlineStr">
        <is>
          <t>Note 6 Balance Sheet Components, Inventories</t>
        </is>
      </c>
      <c r="F68" s="16" t="inlineStr">
        <is>
          <t>FILED</t>
        </is>
      </c>
    </row>
    <row r="69">
      <c r="A69" s="13" t="inlineStr">
        <is>
          <t>Lines of credit and current portion of term loans</t>
        </is>
      </c>
      <c r="B69" s="18" t="inlineStr">
        <is>
          <t>FY2024</t>
        </is>
      </c>
      <c r="C69" s="29" t="n">
        <v>402346</v>
      </c>
      <c r="D69" s="17" t="inlineStr">
        <is>
          <t>SMCI FY2025 10-K</t>
        </is>
      </c>
      <c r="E69" s="17" t="inlineStr">
        <is>
          <t>Consolidated Balance Sheets</t>
        </is>
      </c>
      <c r="F69" s="16" t="inlineStr">
        <is>
          <t>FILED</t>
        </is>
      </c>
    </row>
    <row r="70">
      <c r="A70" s="13" t="inlineStr">
        <is>
          <t>Lines of credit and current portion of term loans</t>
        </is>
      </c>
      <c r="B70" s="18" t="inlineStr">
        <is>
          <t>FY2025</t>
        </is>
      </c>
      <c r="C70" s="29" t="n">
        <v>75060</v>
      </c>
      <c r="D70" s="17" t="inlineStr">
        <is>
          <t>SMCI FY2025 10-K</t>
        </is>
      </c>
      <c r="E70" s="17" t="inlineStr">
        <is>
          <t>Consolidated Balance Sheets</t>
        </is>
      </c>
      <c r="F70" s="16" t="inlineStr">
        <is>
          <t>FILED</t>
        </is>
      </c>
    </row>
    <row r="71">
      <c r="A71" s="13" t="inlineStr">
        <is>
          <t>Long-term debt noncurrent (legacy term loans)</t>
        </is>
      </c>
      <c r="B71" s="18" t="inlineStr">
        <is>
          <t>FY2023</t>
        </is>
      </c>
      <c r="C71" s="29" t="n">
        <v>120179</v>
      </c>
      <c r="D71" s="17" t="inlineStr">
        <is>
          <t>SMCI FY2024 10-K</t>
        </is>
      </c>
      <c r="E71" s="17" t="inlineStr">
        <is>
          <t>Consolidated Balance Sheets (XBRL LongTermDebtNoncurrent)</t>
        </is>
      </c>
      <c r="F71" s="16" t="inlineStr">
        <is>
          <t>FILED</t>
        </is>
      </c>
    </row>
    <row r="72">
      <c r="A72" s="13" t="inlineStr">
        <is>
          <t>Long-term debt, noncurrent</t>
        </is>
      </c>
      <c r="B72" s="18" t="inlineStr">
        <is>
          <t>FY2023</t>
        </is>
      </c>
      <c r="C72" s="29" t="n">
        <v>120179</v>
      </c>
      <c r="D72" s="17" t="inlineStr">
        <is>
          <t>10-K</t>
        </is>
      </c>
      <c r="E72" s="17" t="inlineStr">
        <is>
          <t>XBRL LongTermDebtNoncurrent | 0001375365-23-000036</t>
        </is>
      </c>
      <c r="F72" s="16" t="inlineStr">
        <is>
          <t>FILED</t>
        </is>
      </c>
    </row>
    <row r="73">
      <c r="A73" s="13" t="inlineStr">
        <is>
          <t>Non-controlling interest</t>
        </is>
      </c>
      <c r="B73" s="18" t="inlineStr">
        <is>
          <t>FY2024</t>
        </is>
      </c>
      <c r="C73" s="29" t="n">
        <v>164</v>
      </c>
      <c r="D73" s="17" t="inlineStr">
        <is>
          <t>SMCI FY2025 10-K</t>
        </is>
      </c>
      <c r="E73" s="17" t="inlineStr">
        <is>
          <t>Consolidated Balance Sheets (XBRL MinorityInterest)</t>
        </is>
      </c>
      <c r="F73" s="16" t="inlineStr">
        <is>
          <t>FILED</t>
        </is>
      </c>
    </row>
    <row r="74">
      <c r="A74" s="13" t="inlineStr">
        <is>
          <t>Non-controlling interest</t>
        </is>
      </c>
      <c r="B74" s="18" t="inlineStr">
        <is>
          <t>FY2025</t>
        </is>
      </c>
      <c r="C74" s="29" t="n">
        <v>178</v>
      </c>
      <c r="D74" s="17" t="inlineStr">
        <is>
          <t>SMCI FY2025 10-K</t>
        </is>
      </c>
      <c r="E74" s="17" t="inlineStr">
        <is>
          <t>Consolidated Balance Sheets (XBRL MinorityInterest)</t>
        </is>
      </c>
      <c r="F74" s="16" t="inlineStr">
        <is>
          <t>FILED</t>
        </is>
      </c>
    </row>
    <row r="75">
      <c r="A75" s="13" t="inlineStr">
        <is>
          <t>Prepaid &amp; other current assets</t>
        </is>
      </c>
      <c r="B75" s="18" t="inlineStr">
        <is>
          <t>FY2023</t>
        </is>
      </c>
      <c r="C75" s="29" t="n">
        <v>145144</v>
      </c>
      <c r="D75" s="17" t="inlineStr">
        <is>
          <t>10-K</t>
        </is>
      </c>
      <c r="E75" s="17" t="inlineStr">
        <is>
          <t>XBRL PrepaidExpenseAndOtherAssetsCurrent | 0001375365-23-000036</t>
        </is>
      </c>
      <c r="F75" s="16" t="inlineStr">
        <is>
          <t>FILED</t>
        </is>
      </c>
    </row>
    <row r="76">
      <c r="A76" s="13" t="inlineStr">
        <is>
          <t>Prepaid &amp; other current assets</t>
        </is>
      </c>
      <c r="B76" s="18" t="inlineStr">
        <is>
          <t>FY2024</t>
        </is>
      </c>
      <c r="C76" s="29" t="n">
        <v>191834</v>
      </c>
      <c r="D76" s="17" t="inlineStr">
        <is>
          <t>10-K</t>
        </is>
      </c>
      <c r="E76" s="17" t="inlineStr">
        <is>
          <t>XBRL PrepaidExpenseAndOtherAssetsCurrent | 0001375365-25-000004</t>
        </is>
      </c>
      <c r="F76" s="16" t="inlineStr">
        <is>
          <t>FILED</t>
        </is>
      </c>
    </row>
    <row r="77">
      <c r="A77" s="13" t="inlineStr">
        <is>
          <t>Prepaid &amp; other current assets</t>
        </is>
      </c>
      <c r="B77" s="18" t="inlineStr">
        <is>
          <t>FY2025</t>
        </is>
      </c>
      <c r="C77" s="29" t="n">
        <v>247426</v>
      </c>
      <c r="D77" s="17" t="inlineStr">
        <is>
          <t>10-K</t>
        </is>
      </c>
      <c r="E77" s="17" t="inlineStr">
        <is>
          <t>XBRL PrepaidExpenseAndOtherAssetsCurrent | 0001375365-25-000027</t>
        </is>
      </c>
      <c r="F77" s="16" t="inlineStr">
        <is>
          <t>FILED</t>
        </is>
      </c>
    </row>
    <row r="78">
      <c r="A78" s="13" t="inlineStr">
        <is>
          <t>Prepaid &amp; other current assets</t>
        </is>
      </c>
      <c r="B78" s="18" t="inlineStr">
        <is>
          <t>Q/E 2024-09-30</t>
        </is>
      </c>
      <c r="C78" s="29" t="n">
        <v>100503</v>
      </c>
      <c r="D78" s="17" t="inlineStr">
        <is>
          <t>10-Q</t>
        </is>
      </c>
      <c r="E78" s="17" t="inlineStr">
        <is>
          <t>XBRL PrepaidExpenseAndOtherAssetsCurrent | 0001375365-25-000005</t>
        </is>
      </c>
      <c r="F78" s="16" t="inlineStr">
        <is>
          <t>FILED</t>
        </is>
      </c>
    </row>
    <row r="79">
      <c r="A79" s="13" t="inlineStr">
        <is>
          <t>Prepaid &amp; other current assets</t>
        </is>
      </c>
      <c r="B79" s="18" t="inlineStr">
        <is>
          <t>Q/E 2024-12-31</t>
        </is>
      </c>
      <c r="C79" s="29" t="n">
        <v>581413</v>
      </c>
      <c r="D79" s="17" t="inlineStr">
        <is>
          <t>10-Q</t>
        </is>
      </c>
      <c r="E79" s="17" t="inlineStr">
        <is>
          <t>XBRL PrepaidExpenseAndOtherAssetsCurrent | 0001375365-25-000006</t>
        </is>
      </c>
      <c r="F79" s="16" t="inlineStr">
        <is>
          <t>FILED</t>
        </is>
      </c>
    </row>
    <row r="80">
      <c r="A80" s="13" t="inlineStr">
        <is>
          <t>Prepaid &amp; other current assets</t>
        </is>
      </c>
      <c r="B80" s="18" t="inlineStr">
        <is>
          <t>Q/E 2025-03-31</t>
        </is>
      </c>
      <c r="C80" s="29" t="n">
        <v>464689</v>
      </c>
      <c r="D80" s="17" t="inlineStr">
        <is>
          <t>10-Q</t>
        </is>
      </c>
      <c r="E80" s="17" t="inlineStr">
        <is>
          <t>XBRL PrepaidExpenseAndOtherAssetsCurrent | 0001375365-25-000014</t>
        </is>
      </c>
      <c r="F80" s="16" t="inlineStr">
        <is>
          <t>FILED</t>
        </is>
      </c>
    </row>
    <row r="81">
      <c r="A81" s="13" t="inlineStr">
        <is>
          <t>Prepaid &amp; other current assets</t>
        </is>
      </c>
      <c r="B81" s="18" t="inlineStr">
        <is>
          <t>Q/E 2025-09-30</t>
        </is>
      </c>
      <c r="C81" s="29" t="n">
        <v>209426</v>
      </c>
      <c r="D81" s="17" t="inlineStr">
        <is>
          <t>10-Q</t>
        </is>
      </c>
      <c r="E81" s="17" t="inlineStr">
        <is>
          <t>XBRL PrepaidExpenseAndOtherAssetsCurrent | 0001375365-25-000030</t>
        </is>
      </c>
      <c r="F81" s="16" t="inlineStr">
        <is>
          <t>FILED</t>
        </is>
      </c>
    </row>
    <row r="82">
      <c r="A82" s="13" t="inlineStr">
        <is>
          <t>Prepaid &amp; other current assets</t>
        </is>
      </c>
      <c r="B82" s="18" t="inlineStr">
        <is>
          <t>Q/E 2025-12-31</t>
        </is>
      </c>
      <c r="C82" s="29" t="n">
        <v>433944</v>
      </c>
      <c r="D82" s="17" t="inlineStr">
        <is>
          <t>10-Q</t>
        </is>
      </c>
      <c r="E82" s="17" t="inlineStr">
        <is>
          <t>XBRL PrepaidExpenseAndOtherAssetsCurrent | 0001375365-26-000007</t>
        </is>
      </c>
      <c r="F82" s="16" t="inlineStr">
        <is>
          <t>FILED</t>
        </is>
      </c>
    </row>
    <row r="83">
      <c r="A83" s="13" t="inlineStr">
        <is>
          <t>Prepaid &amp; other current assets</t>
        </is>
      </c>
      <c r="B83" s="18" t="inlineStr">
        <is>
          <t>Q/E 2026-03-31</t>
        </is>
      </c>
      <c r="C83" s="29" t="n">
        <v>761190</v>
      </c>
      <c r="D83" s="17" t="inlineStr">
        <is>
          <t>10-Q</t>
        </is>
      </c>
      <c r="E83" s="17" t="inlineStr">
        <is>
          <t>XBRL PrepaidExpenseAndOtherAssetsCurrent | 0001375365-26-000014</t>
        </is>
      </c>
      <c r="F83" s="16" t="inlineStr">
        <is>
          <t>FILED</t>
        </is>
      </c>
    </row>
    <row r="84">
      <c r="A84" s="13" t="inlineStr">
        <is>
          <t>Property plant and equipment gross</t>
        </is>
      </c>
      <c r="B84" s="18" t="inlineStr">
        <is>
          <t>FY2023</t>
        </is>
      </c>
      <c r="C84" s="29" t="n">
        <v>479627</v>
      </c>
      <c r="D84" s="17" t="inlineStr">
        <is>
          <t>SMCI FY2024 10-K</t>
        </is>
      </c>
      <c r="E84" s="17" t="inlineStr">
        <is>
          <t>PP&amp;E note (XBRL PropertyPlantAndEquipmentGross)</t>
        </is>
      </c>
      <c r="F84" s="16" t="inlineStr">
        <is>
          <t>FILED</t>
        </is>
      </c>
    </row>
    <row r="85">
      <c r="A85" s="13" t="inlineStr">
        <is>
          <t>Property plant and equipment gross</t>
        </is>
      </c>
      <c r="B85" s="18" t="inlineStr">
        <is>
          <t>FY2024</t>
        </is>
      </c>
      <c r="C85" s="29" t="n">
        <v>627904</v>
      </c>
      <c r="D85" s="17" t="inlineStr">
        <is>
          <t>SMCI FY2025 10-K</t>
        </is>
      </c>
      <c r="E85" s="17" t="inlineStr">
        <is>
          <t>PP&amp;E note (XBRL PropertyPlantAndEquipmentGross)</t>
        </is>
      </c>
      <c r="F85" s="16" t="inlineStr">
        <is>
          <t>FILED</t>
        </is>
      </c>
    </row>
    <row r="86">
      <c r="A86" s="13" t="inlineStr">
        <is>
          <t>Property plant and equipment gross</t>
        </is>
      </c>
      <c r="B86" s="18" t="inlineStr">
        <is>
          <t>FY2025</t>
        </is>
      </c>
      <c r="C86" s="29" t="n">
        <v>622733</v>
      </c>
      <c r="D86" s="17" t="inlineStr">
        <is>
          <t>SMCI FY2025 10-K</t>
        </is>
      </c>
      <c r="E86" s="17" t="inlineStr">
        <is>
          <t>PP&amp;E note (XBRL PropertyPlantAndEquipmentGross)</t>
        </is>
      </c>
      <c r="F86" s="16" t="inlineStr">
        <is>
          <t>FILED</t>
        </is>
      </c>
    </row>
    <row r="87">
      <c r="A87" s="13" t="inlineStr">
        <is>
          <t>Property plant and equipment net</t>
        </is>
      </c>
      <c r="B87" s="18" t="inlineStr">
        <is>
          <t>FY2023</t>
        </is>
      </c>
      <c r="C87" s="29" t="n">
        <v>290240</v>
      </c>
      <c r="D87" s="17" t="inlineStr">
        <is>
          <t>SMCI FY2024 10-K</t>
        </is>
      </c>
      <c r="E87" s="17" t="inlineStr">
        <is>
          <t>Consolidated Balance Sheets (XBRL PropertyPlantAndEquipmentNet)</t>
        </is>
      </c>
      <c r="F87" s="16" t="inlineStr">
        <is>
          <t>FILED</t>
        </is>
      </c>
    </row>
    <row r="88">
      <c r="A88" s="13" t="inlineStr">
        <is>
          <t>Property plant and equipment net</t>
        </is>
      </c>
      <c r="B88" s="18" t="inlineStr">
        <is>
          <t>FY2024</t>
        </is>
      </c>
      <c r="C88" s="29" t="n">
        <v>414008</v>
      </c>
      <c r="D88" s="17" t="inlineStr">
        <is>
          <t>SMCI FY2025 10-K</t>
        </is>
      </c>
      <c r="E88" s="17" t="inlineStr">
        <is>
          <t>Consolidated Balance Sheets (XBRL PropertyPlantAndEquipmentNet)</t>
        </is>
      </c>
      <c r="F88" s="16" t="inlineStr">
        <is>
          <t>FILED</t>
        </is>
      </c>
    </row>
    <row r="89">
      <c r="A89" s="13" t="inlineStr">
        <is>
          <t>Property plant and equipment net</t>
        </is>
      </c>
      <c r="B89" s="18" t="inlineStr">
        <is>
          <t>FY2025</t>
        </is>
      </c>
      <c r="C89" s="29" t="n">
        <v>504488</v>
      </c>
      <c r="D89" s="17" t="inlineStr">
        <is>
          <t>SMCI FY2025 10-K</t>
        </is>
      </c>
      <c r="E89" s="17" t="inlineStr">
        <is>
          <t>Consolidated Balance Sheets (XBRL PropertyPlantAndEquipmentNet)</t>
        </is>
      </c>
      <c r="F89" s="16" t="inlineStr">
        <is>
          <t>FILED</t>
        </is>
      </c>
    </row>
    <row r="90">
      <c r="A90" s="13" t="inlineStr">
        <is>
          <t>Term loans non-current</t>
        </is>
      </c>
      <c r="B90" s="18" t="inlineStr">
        <is>
          <t>FY2024</t>
        </is>
      </c>
      <c r="C90" s="29" t="n">
        <v>74083</v>
      </c>
      <c r="D90" s="17" t="inlineStr">
        <is>
          <t>SMCI FY2025 10-K</t>
        </is>
      </c>
      <c r="E90" s="17" t="inlineStr">
        <is>
          <t>Consolidated Balance Sheets</t>
        </is>
      </c>
      <c r="F90" s="16" t="inlineStr">
        <is>
          <t>FILED</t>
        </is>
      </c>
    </row>
    <row r="91">
      <c r="A91" s="13" t="inlineStr">
        <is>
          <t>Term loans non-current</t>
        </is>
      </c>
      <c r="B91" s="18" t="inlineStr">
        <is>
          <t>FY2025</t>
        </is>
      </c>
      <c r="C91" s="29" t="n">
        <v>37415</v>
      </c>
      <c r="D91" s="17" t="inlineStr">
        <is>
          <t>SMCI FY2025 10-K</t>
        </is>
      </c>
      <c r="E91" s="17" t="inlineStr">
        <is>
          <t>Consolidated Balance Sheets</t>
        </is>
      </c>
      <c r="F91" s="16" t="inlineStr">
        <is>
          <t>FILED</t>
        </is>
      </c>
    </row>
    <row r="92">
      <c r="A92" s="13" t="inlineStr">
        <is>
          <t>Total assets</t>
        </is>
      </c>
      <c r="B92" s="18" t="inlineStr">
        <is>
          <t>FY2023</t>
        </is>
      </c>
      <c r="C92" s="29" t="n">
        <v>3674729</v>
      </c>
      <c r="D92" s="17" t="inlineStr">
        <is>
          <t>10-K</t>
        </is>
      </c>
      <c r="E92" s="17" t="inlineStr">
        <is>
          <t>XBRL Assets | 0001375365-23-000036</t>
        </is>
      </c>
      <c r="F92" s="16" t="inlineStr">
        <is>
          <t>FILED</t>
        </is>
      </c>
    </row>
    <row r="93">
      <c r="A93" s="13" t="inlineStr">
        <is>
          <t>Total assets</t>
        </is>
      </c>
      <c r="B93" s="18" t="inlineStr">
        <is>
          <t>FY2024</t>
        </is>
      </c>
      <c r="C93" s="29" t="n">
        <v>9826092</v>
      </c>
      <c r="D93" s="17" t="inlineStr">
        <is>
          <t>10-K</t>
        </is>
      </c>
      <c r="E93" s="17" t="inlineStr">
        <is>
          <t>XBRL Assets | 0001375365-25-000004</t>
        </is>
      </c>
      <c r="F93" s="16" t="inlineStr">
        <is>
          <t>FILED</t>
        </is>
      </c>
    </row>
    <row r="94">
      <c r="A94" s="13" t="inlineStr">
        <is>
          <t>Total assets</t>
        </is>
      </c>
      <c r="B94" s="18" t="inlineStr">
        <is>
          <t>FY2025</t>
        </is>
      </c>
      <c r="C94" s="29" t="n">
        <v>14018429</v>
      </c>
      <c r="D94" s="17" t="inlineStr">
        <is>
          <t>10-K</t>
        </is>
      </c>
      <c r="E94" s="17" t="inlineStr">
        <is>
          <t>XBRL Assets | 0001375365-25-000027</t>
        </is>
      </c>
      <c r="F94" s="16" t="inlineStr">
        <is>
          <t>FILED</t>
        </is>
      </c>
    </row>
    <row r="95">
      <c r="A95" s="13" t="inlineStr">
        <is>
          <t>Total assets</t>
        </is>
      </c>
      <c r="B95" s="18" t="inlineStr">
        <is>
          <t>Q/E 2024-09-30</t>
        </is>
      </c>
      <c r="C95" s="29" t="n">
        <v>10851383</v>
      </c>
      <c r="D95" s="17" t="inlineStr">
        <is>
          <t>10-Q</t>
        </is>
      </c>
      <c r="E95" s="17" t="inlineStr">
        <is>
          <t>XBRL Assets | 0001375365-25-000005</t>
        </is>
      </c>
      <c r="F95" s="16" t="inlineStr">
        <is>
          <t>FILED</t>
        </is>
      </c>
    </row>
    <row r="96">
      <c r="A96" s="13" t="inlineStr">
        <is>
          <t>Total assets</t>
        </is>
      </c>
      <c r="B96" s="18" t="inlineStr">
        <is>
          <t>Q/E 2024-12-31</t>
        </is>
      </c>
      <c r="C96" s="29" t="n">
        <v>9728348</v>
      </c>
      <c r="D96" s="17" t="inlineStr">
        <is>
          <t>10-Q</t>
        </is>
      </c>
      <c r="E96" s="17" t="inlineStr">
        <is>
          <t>XBRL Assets | 0001375365-25-000006</t>
        </is>
      </c>
      <c r="F96" s="16" t="inlineStr">
        <is>
          <t>FILED</t>
        </is>
      </c>
    </row>
    <row r="97">
      <c r="A97" s="13" t="inlineStr">
        <is>
          <t>Total assets</t>
        </is>
      </c>
      <c r="B97" s="18" t="inlineStr">
        <is>
          <t>Q/E 2025-03-31</t>
        </is>
      </c>
      <c r="C97" s="29" t="n">
        <v>10738525</v>
      </c>
      <c r="D97" s="17" t="inlineStr">
        <is>
          <t>10-Q</t>
        </is>
      </c>
      <c r="E97" s="17" t="inlineStr">
        <is>
          <t>XBRL Assets | 0001375365-25-000014</t>
        </is>
      </c>
      <c r="F97" s="16" t="inlineStr">
        <is>
          <t>FILED</t>
        </is>
      </c>
    </row>
    <row r="98">
      <c r="A98" s="13" t="inlineStr">
        <is>
          <t>Total assets</t>
        </is>
      </c>
      <c r="B98" s="18" t="inlineStr">
        <is>
          <t>Q/E 2025-09-30</t>
        </is>
      </c>
      <c r="C98" s="29" t="n">
        <v>14386037</v>
      </c>
      <c r="D98" s="17" t="inlineStr">
        <is>
          <t>10-Q</t>
        </is>
      </c>
      <c r="E98" s="17" t="inlineStr">
        <is>
          <t>XBRL Assets | 0001375365-25-000030</t>
        </is>
      </c>
      <c r="F98" s="16" t="inlineStr">
        <is>
          <t>FILED</t>
        </is>
      </c>
    </row>
    <row r="99">
      <c r="A99" s="13" t="inlineStr">
        <is>
          <t>Total assets</t>
        </is>
      </c>
      <c r="B99" s="18" t="inlineStr">
        <is>
          <t>Q/E 2025-12-31</t>
        </is>
      </c>
      <c r="C99" s="29" t="n">
        <v>28001610</v>
      </c>
      <c r="D99" s="17" t="inlineStr">
        <is>
          <t>10-Q</t>
        </is>
      </c>
      <c r="E99" s="17" t="inlineStr">
        <is>
          <t>XBRL Assets | 0001375365-26-000007</t>
        </is>
      </c>
      <c r="F99" s="16" t="inlineStr">
        <is>
          <t>FILED</t>
        </is>
      </c>
    </row>
    <row r="100">
      <c r="A100" s="13" t="inlineStr">
        <is>
          <t>Total assets</t>
        </is>
      </c>
      <c r="B100" s="18" t="inlineStr">
        <is>
          <t>Q/E 2026-03-31</t>
        </is>
      </c>
      <c r="C100" s="29" t="n">
        <v>23452029</v>
      </c>
      <c r="D100" s="17" t="inlineStr">
        <is>
          <t>10-Q</t>
        </is>
      </c>
      <c r="E100" s="17" t="inlineStr">
        <is>
          <t>XBRL Assets | 0001375365-26-000014</t>
        </is>
      </c>
      <c r="F100" s="16" t="inlineStr">
        <is>
          <t>FILED</t>
        </is>
      </c>
    </row>
    <row r="101">
      <c r="A101" s="13" t="inlineStr">
        <is>
          <t>Total current assets</t>
        </is>
      </c>
      <c r="B101" s="18" t="inlineStr">
        <is>
          <t>FY2023</t>
        </is>
      </c>
      <c r="C101" s="29" t="n">
        <v>3179426</v>
      </c>
      <c r="D101" s="17" t="inlineStr">
        <is>
          <t>10-K</t>
        </is>
      </c>
      <c r="E101" s="17" t="inlineStr">
        <is>
          <t>XBRL AssetsCurrent | 0001375365-23-000036</t>
        </is>
      </c>
      <c r="F101" s="16" t="inlineStr">
        <is>
          <t>FILED</t>
        </is>
      </c>
    </row>
    <row r="102">
      <c r="A102" s="13" t="inlineStr">
        <is>
          <t>Total current assets</t>
        </is>
      </c>
      <c r="B102" s="18" t="inlineStr">
        <is>
          <t>FY2024</t>
        </is>
      </c>
      <c r="C102" s="29" t="n">
        <v>8931960</v>
      </c>
      <c r="D102" s="17" t="inlineStr">
        <is>
          <t>10-K</t>
        </is>
      </c>
      <c r="E102" s="17" t="inlineStr">
        <is>
          <t>XBRL AssetsCurrent | 0001375365-25-000004</t>
        </is>
      </c>
      <c r="F102" s="16" t="inlineStr">
        <is>
          <t>FILED</t>
        </is>
      </c>
    </row>
    <row r="103">
      <c r="A103" s="13" t="inlineStr">
        <is>
          <t>Total current assets</t>
        </is>
      </c>
      <c r="B103" s="18" t="inlineStr">
        <is>
          <t>FY2025</t>
        </is>
      </c>
      <c r="C103" s="29" t="n">
        <v>12301654</v>
      </c>
      <c r="D103" s="17" t="inlineStr">
        <is>
          <t>10-K</t>
        </is>
      </c>
      <c r="E103" s="17" t="inlineStr">
        <is>
          <t>XBRL AssetsCurrent | 0001375365-25-000027</t>
        </is>
      </c>
      <c r="F103" s="16" t="inlineStr">
        <is>
          <t>FILED</t>
        </is>
      </c>
    </row>
    <row r="104">
      <c r="A104" s="13" t="inlineStr">
        <is>
          <t>Total current assets</t>
        </is>
      </c>
      <c r="B104" s="18" t="inlineStr">
        <is>
          <t>Q/E 2024-09-30</t>
        </is>
      </c>
      <c r="C104" s="29" t="n">
        <v>9851584</v>
      </c>
      <c r="D104" s="17" t="inlineStr">
        <is>
          <t>10-Q</t>
        </is>
      </c>
      <c r="E104" s="17" t="inlineStr">
        <is>
          <t>XBRL AssetsCurrent | 0001375365-25-000005</t>
        </is>
      </c>
      <c r="F104" s="16" t="inlineStr">
        <is>
          <t>FILED</t>
        </is>
      </c>
    </row>
    <row r="105">
      <c r="A105" s="13" t="inlineStr">
        <is>
          <t>Total current assets</t>
        </is>
      </c>
      <c r="B105" s="18" t="inlineStr">
        <is>
          <t>Q/E 2024-12-31</t>
        </is>
      </c>
      <c r="C105" s="29" t="n">
        <v>8667070</v>
      </c>
      <c r="D105" s="17" t="inlineStr">
        <is>
          <t>10-Q</t>
        </is>
      </c>
      <c r="E105" s="17" t="inlineStr">
        <is>
          <t>XBRL AssetsCurrent | 0001375365-25-000006</t>
        </is>
      </c>
      <c r="F105" s="16" t="inlineStr">
        <is>
          <t>FILED</t>
        </is>
      </c>
    </row>
    <row r="106">
      <c r="A106" s="13" t="inlineStr">
        <is>
          <t>Total current assets</t>
        </is>
      </c>
      <c r="B106" s="18" t="inlineStr">
        <is>
          <t>Q/E 2025-03-31</t>
        </is>
      </c>
      <c r="C106" s="29" t="n">
        <v>9513589</v>
      </c>
      <c r="D106" s="17" t="inlineStr">
        <is>
          <t>10-Q</t>
        </is>
      </c>
      <c r="E106" s="17" t="inlineStr">
        <is>
          <t>XBRL AssetsCurrent | 0001375365-25-000014</t>
        </is>
      </c>
      <c r="F106" s="16" t="inlineStr">
        <is>
          <t>FILED</t>
        </is>
      </c>
    </row>
    <row r="107">
      <c r="A107" s="13" t="inlineStr">
        <is>
          <t>Total current assets</t>
        </is>
      </c>
      <c r="B107" s="18" t="inlineStr">
        <is>
          <t>Q/E 2025-09-30</t>
        </is>
      </c>
      <c r="C107" s="29" t="n">
        <v>12661334</v>
      </c>
      <c r="D107" s="17" t="inlineStr">
        <is>
          <t>10-Q</t>
        </is>
      </c>
      <c r="E107" s="17" t="inlineStr">
        <is>
          <t>XBRL AssetsCurrent | 0001375365-25-000030</t>
        </is>
      </c>
      <c r="F107" s="16" t="inlineStr">
        <is>
          <t>FILED</t>
        </is>
      </c>
    </row>
    <row r="108">
      <c r="A108" s="13" t="inlineStr">
        <is>
          <t>Total current assets</t>
        </is>
      </c>
      <c r="B108" s="18" t="inlineStr">
        <is>
          <t>Q/E 2025-12-31</t>
        </is>
      </c>
      <c r="C108" s="29" t="n">
        <v>26124597</v>
      </c>
      <c r="D108" s="17" t="inlineStr">
        <is>
          <t>10-Q</t>
        </is>
      </c>
      <c r="E108" s="17" t="inlineStr">
        <is>
          <t>XBRL AssetsCurrent | 0001375365-26-000007</t>
        </is>
      </c>
      <c r="F108" s="16" t="inlineStr">
        <is>
          <t>FILED</t>
        </is>
      </c>
    </row>
    <row r="109">
      <c r="A109" s="13" t="inlineStr">
        <is>
          <t>Total current assets</t>
        </is>
      </c>
      <c r="B109" s="18" t="inlineStr">
        <is>
          <t>Q/E 2026-03-31</t>
        </is>
      </c>
      <c r="C109" s="29" t="n">
        <v>21568286</v>
      </c>
      <c r="D109" s="17" t="inlineStr">
        <is>
          <t>10-Q</t>
        </is>
      </c>
      <c r="E109" s="17" t="inlineStr">
        <is>
          <t>XBRL AssetsCurrent | 0001375365-26-000014</t>
        </is>
      </c>
      <c r="F109" s="16" t="inlineStr">
        <is>
          <t>FILED</t>
        </is>
      </c>
    </row>
    <row r="110">
      <c r="A110" s="13" t="inlineStr">
        <is>
          <t>Total current liabilities</t>
        </is>
      </c>
      <c r="B110" s="18" t="inlineStr">
        <is>
          <t>FY2023</t>
        </is>
      </c>
      <c r="C110" s="29" t="n">
        <v>1374652</v>
      </c>
      <c r="D110" s="17" t="inlineStr">
        <is>
          <t>10-K</t>
        </is>
      </c>
      <c r="E110" s="17" t="inlineStr">
        <is>
          <t>XBRL LiabilitiesCurrent | 0001375365-23-000036</t>
        </is>
      </c>
      <c r="F110" s="16" t="inlineStr">
        <is>
          <t>FILED</t>
        </is>
      </c>
    </row>
    <row r="111">
      <c r="A111" s="13" t="inlineStr">
        <is>
          <t>Total current liabilities</t>
        </is>
      </c>
      <c r="B111" s="18" t="inlineStr">
        <is>
          <t>FY2024</t>
        </is>
      </c>
      <c r="C111" s="29" t="n">
        <v>2345721</v>
      </c>
      <c r="D111" s="17" t="inlineStr">
        <is>
          <t>10-K</t>
        </is>
      </c>
      <c r="E111" s="17" t="inlineStr">
        <is>
          <t>XBRL LiabilitiesCurrent | 0001375365-25-000004</t>
        </is>
      </c>
      <c r="F111" s="16" t="inlineStr">
        <is>
          <t>FILED</t>
        </is>
      </c>
    </row>
    <row r="112">
      <c r="A112" s="13" t="inlineStr">
        <is>
          <t>Total current liabilities</t>
        </is>
      </c>
      <c r="B112" s="18" t="inlineStr">
        <is>
          <t>FY2025</t>
        </is>
      </c>
      <c r="C112" s="29" t="n">
        <v>2344792</v>
      </c>
      <c r="D112" s="17" t="inlineStr">
        <is>
          <t>10-K</t>
        </is>
      </c>
      <c r="E112" s="17" t="inlineStr">
        <is>
          <t>XBRL LiabilitiesCurrent | 0001375365-25-000027</t>
        </is>
      </c>
      <c r="F112" s="16" t="inlineStr">
        <is>
          <t>FILED</t>
        </is>
      </c>
    </row>
    <row r="113">
      <c r="A113" s="13" t="inlineStr">
        <is>
          <t>Total current liabilities</t>
        </is>
      </c>
      <c r="B113" s="18" t="inlineStr">
        <is>
          <t>Q/E 2024-09-30</t>
        </is>
      </c>
      <c r="C113" s="29" t="n">
        <v>2871101</v>
      </c>
      <c r="D113" s="17" t="inlineStr">
        <is>
          <t>10-Q</t>
        </is>
      </c>
      <c r="E113" s="17" t="inlineStr">
        <is>
          <t>XBRL LiabilitiesCurrent | 0001375365-25-000005</t>
        </is>
      </c>
      <c r="F113" s="16" t="inlineStr">
        <is>
          <t>FILED</t>
        </is>
      </c>
    </row>
    <row r="114">
      <c r="A114" s="13" t="inlineStr">
        <is>
          <t>Total current liabilities</t>
        </is>
      </c>
      <c r="B114" s="18" t="inlineStr">
        <is>
          <t>Q/E 2024-12-31</t>
        </is>
      </c>
      <c r="C114" s="29" t="n">
        <v>1357810</v>
      </c>
      <c r="D114" s="17" t="inlineStr">
        <is>
          <t>10-Q</t>
        </is>
      </c>
      <c r="E114" s="17" t="inlineStr">
        <is>
          <t>XBRL LiabilitiesCurrent | 0001375365-25-000006</t>
        </is>
      </c>
      <c r="F114" s="16" t="inlineStr">
        <is>
          <t>FILED</t>
        </is>
      </c>
    </row>
    <row r="115">
      <c r="A115" s="13" t="inlineStr">
        <is>
          <t>Total current liabilities</t>
        </is>
      </c>
      <c r="B115" s="18" t="inlineStr">
        <is>
          <t>Q/E 2025-03-31</t>
        </is>
      </c>
      <c r="C115" s="29" t="n">
        <v>1428136</v>
      </c>
      <c r="D115" s="17" t="inlineStr">
        <is>
          <t>10-Q</t>
        </is>
      </c>
      <c r="E115" s="17" t="inlineStr">
        <is>
          <t>XBRL LiabilitiesCurrent | 0001375365-25-000014</t>
        </is>
      </c>
      <c r="F115" s="16" t="inlineStr">
        <is>
          <t>FILED</t>
        </is>
      </c>
    </row>
    <row r="116">
      <c r="A116" s="13" t="inlineStr">
        <is>
          <t>Total current liabilities</t>
        </is>
      </c>
      <c r="B116" s="18" t="inlineStr">
        <is>
          <t>Q/E 2025-09-30</t>
        </is>
      </c>
      <c r="C116" s="29" t="n">
        <v>2347235</v>
      </c>
      <c r="D116" s="17" t="inlineStr">
        <is>
          <t>10-Q</t>
        </is>
      </c>
      <c r="E116" s="17" t="inlineStr">
        <is>
          <t>XBRL LiabilitiesCurrent | 0001375365-25-000030</t>
        </is>
      </c>
      <c r="F116" s="16" t="inlineStr">
        <is>
          <t>FILED</t>
        </is>
      </c>
    </row>
    <row r="117">
      <c r="A117" s="13" t="inlineStr">
        <is>
          <t>Total current liabilities</t>
        </is>
      </c>
      <c r="B117" s="18" t="inlineStr">
        <is>
          <t>Q/E 2025-12-31</t>
        </is>
      </c>
      <c r="C117" s="29" t="n">
        <v>15396708</v>
      </c>
      <c r="D117" s="17" t="inlineStr">
        <is>
          <t>10-Q</t>
        </is>
      </c>
      <c r="E117" s="17" t="inlineStr">
        <is>
          <t>XBRL LiabilitiesCurrent | 0001375365-26-000007</t>
        </is>
      </c>
      <c r="F117" s="16" t="inlineStr">
        <is>
          <t>FILED</t>
        </is>
      </c>
    </row>
    <row r="118">
      <c r="A118" s="13" t="inlineStr">
        <is>
          <t>Total current liabilities</t>
        </is>
      </c>
      <c r="B118" s="18" t="inlineStr">
        <is>
          <t>Q/E 2026-03-31</t>
        </is>
      </c>
      <c r="C118" s="29" t="n">
        <v>8122635</v>
      </c>
      <c r="D118" s="17" t="inlineStr">
        <is>
          <t>10-Q</t>
        </is>
      </c>
      <c r="E118" s="17" t="inlineStr">
        <is>
          <t>XBRL LiabilitiesCurrent | 0001375365-26-000014</t>
        </is>
      </c>
      <c r="F118" s="16" t="inlineStr">
        <is>
          <t>FILED</t>
        </is>
      </c>
    </row>
    <row r="119">
      <c r="A119" s="13" t="inlineStr">
        <is>
          <t>Total equity incl. NCI</t>
        </is>
      </c>
      <c r="B119" s="18" t="inlineStr">
        <is>
          <t>FY2024</t>
        </is>
      </c>
      <c r="C119" s="29" t="n">
        <v>5417370</v>
      </c>
      <c r="D119" s="17" t="inlineStr">
        <is>
          <t>SMCI FY2025 10-K</t>
        </is>
      </c>
      <c r="E119" s="17" t="inlineStr">
        <is>
          <t>Consolidated Balance Sheets (XBRL StockholdersEquityIncludingNCI)</t>
        </is>
      </c>
      <c r="F119" s="16" t="inlineStr">
        <is>
          <t>FILED</t>
        </is>
      </c>
    </row>
    <row r="120">
      <c r="A120" s="13" t="inlineStr">
        <is>
          <t>Total equity incl. NCI</t>
        </is>
      </c>
      <c r="B120" s="18" t="inlineStr">
        <is>
          <t>FY2025</t>
        </is>
      </c>
      <c r="C120" s="29" t="n">
        <v>6301871</v>
      </c>
      <c r="D120" s="17" t="inlineStr">
        <is>
          <t>SMCI FY2025 10-K</t>
        </is>
      </c>
      <c r="E120" s="17" t="inlineStr">
        <is>
          <t>Consolidated Balance Sheets (XBRL StockholdersEquityIncludingNCI)</t>
        </is>
      </c>
      <c r="F120" s="16" t="inlineStr">
        <is>
          <t>FILED</t>
        </is>
      </c>
    </row>
    <row r="121">
      <c r="A121" s="13" t="inlineStr">
        <is>
          <t>Total liabilities</t>
        </is>
      </c>
      <c r="B121" s="18" t="inlineStr">
        <is>
          <t>FY2023</t>
        </is>
      </c>
      <c r="C121" s="29" t="n">
        <v>1702559</v>
      </c>
      <c r="D121" s="17" t="inlineStr">
        <is>
          <t>10-K</t>
        </is>
      </c>
      <c r="E121" s="17" t="inlineStr">
        <is>
          <t>XBRL Liabilities | 0001375365-23-000036</t>
        </is>
      </c>
      <c r="F121" s="16" t="inlineStr">
        <is>
          <t>FILED</t>
        </is>
      </c>
    </row>
    <row r="122">
      <c r="A122" s="13" t="inlineStr">
        <is>
          <t>Total liabilities</t>
        </is>
      </c>
      <c r="B122" s="18" t="inlineStr">
        <is>
          <t>FY2024</t>
        </is>
      </c>
      <c r="C122" s="29" t="n">
        <v>4408722</v>
      </c>
      <c r="D122" s="17" t="inlineStr">
        <is>
          <t>10-K</t>
        </is>
      </c>
      <c r="E122" s="17" t="inlineStr">
        <is>
          <t>XBRL Liabilities | 0001375365-25-000004</t>
        </is>
      </c>
      <c r="F122" s="16" t="inlineStr">
        <is>
          <t>FILED</t>
        </is>
      </c>
    </row>
    <row r="123">
      <c r="A123" s="13" t="inlineStr">
        <is>
          <t>Total liabilities</t>
        </is>
      </c>
      <c r="B123" s="18" t="inlineStr">
        <is>
          <t>FY2025</t>
        </is>
      </c>
      <c r="C123" s="29" t="n">
        <v>7716558</v>
      </c>
      <c r="D123" s="17" t="inlineStr">
        <is>
          <t>10-K</t>
        </is>
      </c>
      <c r="E123" s="17" t="inlineStr">
        <is>
          <t>XBRL Liabilities | 0001375365-25-000027</t>
        </is>
      </c>
      <c r="F123" s="16" t="inlineStr">
        <is>
          <t>FILED</t>
        </is>
      </c>
    </row>
    <row r="124">
      <c r="A124" s="13" t="inlineStr">
        <is>
          <t>Total liabilities</t>
        </is>
      </c>
      <c r="B124" s="18" t="inlineStr">
        <is>
          <t>Q/E 2024-09-30</t>
        </is>
      </c>
      <c r="C124" s="29" t="n">
        <v>4974466</v>
      </c>
      <c r="D124" s="17" t="inlineStr">
        <is>
          <t>10-Q</t>
        </is>
      </c>
      <c r="E124" s="17" t="inlineStr">
        <is>
          <t>XBRL Liabilities | 0001375365-25-000005</t>
        </is>
      </c>
      <c r="F124" s="16" t="inlineStr">
        <is>
          <t>FILED</t>
        </is>
      </c>
    </row>
    <row r="125">
      <c r="A125" s="13" t="inlineStr">
        <is>
          <t>Total liabilities</t>
        </is>
      </c>
      <c r="B125" s="18" t="inlineStr">
        <is>
          <t>Q/E 2024-12-31</t>
        </is>
      </c>
      <c r="C125" s="29" t="n">
        <v>3489882</v>
      </c>
      <c r="D125" s="17" t="inlineStr">
        <is>
          <t>10-Q</t>
        </is>
      </c>
      <c r="E125" s="17" t="inlineStr">
        <is>
          <t>XBRL Liabilities | 0001375365-25-000006</t>
        </is>
      </c>
      <c r="F125" s="16" t="inlineStr">
        <is>
          <t>FILED</t>
        </is>
      </c>
    </row>
    <row r="126">
      <c r="A126" s="13" t="inlineStr">
        <is>
          <t>Total liabilities</t>
        </is>
      </c>
      <c r="B126" s="18" t="inlineStr">
        <is>
          <t>Q/E 2025-03-31</t>
        </is>
      </c>
      <c r="C126" s="29" t="n">
        <v>4359046</v>
      </c>
      <c r="D126" s="17" t="inlineStr">
        <is>
          <t>10-Q</t>
        </is>
      </c>
      <c r="E126" s="17" t="inlineStr">
        <is>
          <t>XBRL Liabilities | 0001375365-25-000014</t>
        </is>
      </c>
      <c r="F126" s="16" t="inlineStr">
        <is>
          <t>FILED</t>
        </is>
      </c>
    </row>
    <row r="127">
      <c r="A127" s="13" t="inlineStr">
        <is>
          <t>Total liabilities</t>
        </is>
      </c>
      <c r="B127" s="18" t="inlineStr">
        <is>
          <t>Q/E 2025-09-30</t>
        </is>
      </c>
      <c r="C127" s="29" t="n">
        <v>7862477</v>
      </c>
      <c r="D127" s="17" t="inlineStr">
        <is>
          <t>10-Q</t>
        </is>
      </c>
      <c r="E127" s="17" t="inlineStr">
        <is>
          <t>XBRL Liabilities | 0001375365-25-000030</t>
        </is>
      </c>
      <c r="F127" s="16" t="inlineStr">
        <is>
          <t>FILED</t>
        </is>
      </c>
    </row>
    <row r="128">
      <c r="A128" s="13" t="inlineStr">
        <is>
          <t>Total liabilities</t>
        </is>
      </c>
      <c r="B128" s="18" t="inlineStr">
        <is>
          <t>Q/E 2025-12-31</t>
        </is>
      </c>
      <c r="C128" s="29" t="n">
        <v>21009433</v>
      </c>
      <c r="D128" s="17" t="inlineStr">
        <is>
          <t>10-Q</t>
        </is>
      </c>
      <c r="E128" s="17" t="inlineStr">
        <is>
          <t>XBRL Liabilities | 0001375365-26-000007</t>
        </is>
      </c>
      <c r="F128" s="16" t="inlineStr">
        <is>
          <t>FILED</t>
        </is>
      </c>
    </row>
    <row r="129">
      <c r="A129" s="13" t="inlineStr">
        <is>
          <t>Total liabilities</t>
        </is>
      </c>
      <c r="B129" s="18" t="inlineStr">
        <is>
          <t>Q/E 2026-03-31</t>
        </is>
      </c>
      <c r="C129" s="29" t="n">
        <v>15876438</v>
      </c>
      <c r="D129" s="17" t="inlineStr">
        <is>
          <t>10-Q</t>
        </is>
      </c>
      <c r="E129" s="17" t="inlineStr">
        <is>
          <t>XBRL Liabilities | 0001375365-26-000014</t>
        </is>
      </c>
      <c r="F129" s="16" t="inlineStr">
        <is>
          <t>FILED</t>
        </is>
      </c>
    </row>
    <row r="130">
      <c r="A130" s="13" t="inlineStr">
        <is>
          <t>Total liabilities &amp; equity</t>
        </is>
      </c>
      <c r="B130" s="18" t="inlineStr">
        <is>
          <t>FY2023</t>
        </is>
      </c>
      <c r="C130" s="29" t="n">
        <v>3674729</v>
      </c>
      <c r="D130" s="17" t="inlineStr">
        <is>
          <t>10-K</t>
        </is>
      </c>
      <c r="E130" s="17" t="inlineStr">
        <is>
          <t>XBRL LiabilitiesAndStockholdersEquity | 0001375365-23-000036</t>
        </is>
      </c>
      <c r="F130" s="16" t="inlineStr">
        <is>
          <t>FILED</t>
        </is>
      </c>
    </row>
    <row r="131">
      <c r="A131" s="13" t="inlineStr">
        <is>
          <t>Total liabilities &amp; equity</t>
        </is>
      </c>
      <c r="B131" s="18" t="inlineStr">
        <is>
          <t>FY2024</t>
        </is>
      </c>
      <c r="C131" s="29" t="n">
        <v>9826092</v>
      </c>
      <c r="D131" s="17" t="inlineStr">
        <is>
          <t>10-K</t>
        </is>
      </c>
      <c r="E131" s="17" t="inlineStr">
        <is>
          <t>XBRL LiabilitiesAndStockholdersEquity | 0001375365-25-000004</t>
        </is>
      </c>
      <c r="F131" s="16" t="inlineStr">
        <is>
          <t>FILED</t>
        </is>
      </c>
    </row>
    <row r="132">
      <c r="A132" s="13" t="inlineStr">
        <is>
          <t>Total liabilities &amp; equity</t>
        </is>
      </c>
      <c r="B132" s="18" t="inlineStr">
        <is>
          <t>FY2025</t>
        </is>
      </c>
      <c r="C132" s="29" t="n">
        <v>14018429</v>
      </c>
      <c r="D132" s="17" t="inlineStr">
        <is>
          <t>10-K</t>
        </is>
      </c>
      <c r="E132" s="17" t="inlineStr">
        <is>
          <t>XBRL LiabilitiesAndStockholdersEquity | 0001375365-25-000027</t>
        </is>
      </c>
      <c r="F132" s="16" t="inlineStr">
        <is>
          <t>FILED</t>
        </is>
      </c>
    </row>
    <row r="133">
      <c r="A133" s="13" t="inlineStr">
        <is>
          <t>Total liabilities &amp; equity</t>
        </is>
      </c>
      <c r="B133" s="18" t="inlineStr">
        <is>
          <t>Q/E 2024-09-30</t>
        </is>
      </c>
      <c r="C133" s="29" t="n">
        <v>10851383</v>
      </c>
      <c r="D133" s="17" t="inlineStr">
        <is>
          <t>10-Q</t>
        </is>
      </c>
      <c r="E133" s="17" t="inlineStr">
        <is>
          <t>XBRL LiabilitiesAndStockholdersEquity | 0001375365-25-000005</t>
        </is>
      </c>
      <c r="F133" s="16" t="inlineStr">
        <is>
          <t>FILED</t>
        </is>
      </c>
    </row>
    <row r="134">
      <c r="A134" s="13" t="inlineStr">
        <is>
          <t>Total liabilities &amp; equity</t>
        </is>
      </c>
      <c r="B134" s="18" t="inlineStr">
        <is>
          <t>Q/E 2024-12-31</t>
        </is>
      </c>
      <c r="C134" s="29" t="n">
        <v>9728348</v>
      </c>
      <c r="D134" s="17" t="inlineStr">
        <is>
          <t>10-Q</t>
        </is>
      </c>
      <c r="E134" s="17" t="inlineStr">
        <is>
          <t>XBRL LiabilitiesAndStockholdersEquity | 0001375365-25-000006</t>
        </is>
      </c>
      <c r="F134" s="16" t="inlineStr">
        <is>
          <t>FILED</t>
        </is>
      </c>
    </row>
    <row r="135">
      <c r="A135" s="13" t="inlineStr">
        <is>
          <t>Total liabilities &amp; equity</t>
        </is>
      </c>
      <c r="B135" s="18" t="inlineStr">
        <is>
          <t>Q/E 2025-03-31</t>
        </is>
      </c>
      <c r="C135" s="29" t="n">
        <v>10738525</v>
      </c>
      <c r="D135" s="17" t="inlineStr">
        <is>
          <t>10-Q</t>
        </is>
      </c>
      <c r="E135" s="17" t="inlineStr">
        <is>
          <t>XBRL LiabilitiesAndStockholdersEquity | 0001375365-25-000014</t>
        </is>
      </c>
      <c r="F135" s="16" t="inlineStr">
        <is>
          <t>FILED</t>
        </is>
      </c>
    </row>
    <row r="136">
      <c r="A136" s="13" t="inlineStr">
        <is>
          <t>Total liabilities &amp; equity</t>
        </is>
      </c>
      <c r="B136" s="18" t="inlineStr">
        <is>
          <t>Q/E 2025-09-30</t>
        </is>
      </c>
      <c r="C136" s="29" t="n">
        <v>14386037</v>
      </c>
      <c r="D136" s="17" t="inlineStr">
        <is>
          <t>10-Q</t>
        </is>
      </c>
      <c r="E136" s="17" t="inlineStr">
        <is>
          <t>XBRL LiabilitiesAndStockholdersEquity | 0001375365-25-000030</t>
        </is>
      </c>
      <c r="F136" s="16" t="inlineStr">
        <is>
          <t>FILED</t>
        </is>
      </c>
    </row>
    <row r="137">
      <c r="A137" s="13" t="inlineStr">
        <is>
          <t>Total liabilities &amp; equity</t>
        </is>
      </c>
      <c r="B137" s="18" t="inlineStr">
        <is>
          <t>Q/E 2025-12-31</t>
        </is>
      </c>
      <c r="C137" s="29" t="n">
        <v>28001610</v>
      </c>
      <c r="D137" s="17" t="inlineStr">
        <is>
          <t>10-Q</t>
        </is>
      </c>
      <c r="E137" s="17" t="inlineStr">
        <is>
          <t>XBRL LiabilitiesAndStockholdersEquity | 0001375365-26-000007</t>
        </is>
      </c>
      <c r="F137" s="16" t="inlineStr">
        <is>
          <t>FILED</t>
        </is>
      </c>
    </row>
    <row r="138">
      <c r="A138" s="13" t="inlineStr">
        <is>
          <t>Total liabilities &amp; equity</t>
        </is>
      </c>
      <c r="B138" s="18" t="inlineStr">
        <is>
          <t>Q/E 2026-03-31</t>
        </is>
      </c>
      <c r="C138" s="29" t="n">
        <v>23452029</v>
      </c>
      <c r="D138" s="17" t="inlineStr">
        <is>
          <t>10-Q</t>
        </is>
      </c>
      <c r="E138" s="17" t="inlineStr">
        <is>
          <t>XBRL LiabilitiesAndStockholdersEquity | 0001375365-26-000014</t>
        </is>
      </c>
      <c r="F138" s="16" t="inlineStr">
        <is>
          <t>FILED</t>
        </is>
      </c>
    </row>
    <row r="139">
      <c r="A139" s="13" t="inlineStr">
        <is>
          <t>Total stockholders' equity</t>
        </is>
      </c>
      <c r="B139" s="18" t="inlineStr">
        <is>
          <t>FY2023</t>
        </is>
      </c>
      <c r="C139" s="29" t="n">
        <v>1972005</v>
      </c>
      <c r="D139" s="17" t="inlineStr">
        <is>
          <t>10-K</t>
        </is>
      </c>
      <c r="E139" s="17" t="inlineStr">
        <is>
          <t>XBRL StockholdersEquity | 0001375365-23-000036</t>
        </is>
      </c>
      <c r="F139" s="16" t="inlineStr">
        <is>
          <t>FILED</t>
        </is>
      </c>
    </row>
    <row r="140">
      <c r="A140" s="13" t="inlineStr">
        <is>
          <t>Total stockholders' equity</t>
        </is>
      </c>
      <c r="B140" s="18" t="inlineStr">
        <is>
          <t>FY2024</t>
        </is>
      </c>
      <c r="C140" s="29" t="n">
        <v>5417206</v>
      </c>
      <c r="D140" s="17" t="inlineStr">
        <is>
          <t>10-K</t>
        </is>
      </c>
      <c r="E140" s="17" t="inlineStr">
        <is>
          <t>XBRL StockholdersEquity | 0001375365-25-000004</t>
        </is>
      </c>
      <c r="F140" s="16" t="inlineStr">
        <is>
          <t>FILED</t>
        </is>
      </c>
    </row>
    <row r="141">
      <c r="A141" s="13" t="inlineStr">
        <is>
          <t>Total stockholders' equity</t>
        </is>
      </c>
      <c r="B141" s="18" t="inlineStr">
        <is>
          <t>FY2025</t>
        </is>
      </c>
      <c r="C141" s="29" t="n">
        <v>6301693</v>
      </c>
      <c r="D141" s="17" t="inlineStr">
        <is>
          <t>10-K</t>
        </is>
      </c>
      <c r="E141" s="17" t="inlineStr">
        <is>
          <t>XBRL StockholdersEquity | 0001375365-25-000027</t>
        </is>
      </c>
      <c r="F141" s="16" t="inlineStr">
        <is>
          <t>FILED</t>
        </is>
      </c>
    </row>
    <row r="142">
      <c r="A142" s="13" t="inlineStr">
        <is>
          <t>Total stockholders' equity</t>
        </is>
      </c>
      <c r="B142" s="18" t="inlineStr">
        <is>
          <t>Q/E 2024-09-30</t>
        </is>
      </c>
      <c r="C142" s="29" t="n">
        <v>5876754</v>
      </c>
      <c r="D142" s="17" t="inlineStr">
        <is>
          <t>10-Q</t>
        </is>
      </c>
      <c r="E142" s="17" t="inlineStr">
        <is>
          <t>XBRL StockholdersEquity | 0001375365-25-000005</t>
        </is>
      </c>
      <c r="F142" s="16" t="inlineStr">
        <is>
          <t>FILED</t>
        </is>
      </c>
    </row>
    <row r="143">
      <c r="A143" s="13" t="inlineStr">
        <is>
          <t>Total stockholders' equity</t>
        </is>
      </c>
      <c r="B143" s="18" t="inlineStr">
        <is>
          <t>Q/E 2024-12-31</t>
        </is>
      </c>
      <c r="C143" s="29" t="n">
        <v>6238307</v>
      </c>
      <c r="D143" s="17" t="inlineStr">
        <is>
          <t>10-Q</t>
        </is>
      </c>
      <c r="E143" s="17" t="inlineStr">
        <is>
          <t>XBRL StockholdersEquity | 0001375365-25-000006</t>
        </is>
      </c>
      <c r="F143" s="16" t="inlineStr">
        <is>
          <t>FILED</t>
        </is>
      </c>
    </row>
    <row r="144">
      <c r="A144" s="13" t="inlineStr">
        <is>
          <t>Total stockholders' equity</t>
        </is>
      </c>
      <c r="B144" s="18" t="inlineStr">
        <is>
          <t>Q/E 2025-03-31</t>
        </is>
      </c>
      <c r="C144" s="29" t="n">
        <v>6379319</v>
      </c>
      <c r="D144" s="17" t="inlineStr">
        <is>
          <t>10-Q</t>
        </is>
      </c>
      <c r="E144" s="17" t="inlineStr">
        <is>
          <t>XBRL StockholdersEquity | 0001375365-25-000014</t>
        </is>
      </c>
      <c r="F144" s="16" t="inlineStr">
        <is>
          <t>FILED</t>
        </is>
      </c>
    </row>
    <row r="145">
      <c r="A145" s="13" t="inlineStr">
        <is>
          <t>Total stockholders' equity</t>
        </is>
      </c>
      <c r="B145" s="18" t="inlineStr">
        <is>
          <t>Q/E 2025-09-30</t>
        </is>
      </c>
      <c r="C145" s="29" t="n">
        <v>6523390</v>
      </c>
      <c r="D145" s="17" t="inlineStr">
        <is>
          <t>10-Q</t>
        </is>
      </c>
      <c r="E145" s="17" t="inlineStr">
        <is>
          <t>XBRL StockholdersEquity | 0001375365-25-000030</t>
        </is>
      </c>
      <c r="F145" s="16" t="inlineStr">
        <is>
          <t>FILED</t>
        </is>
      </c>
    </row>
    <row r="146">
      <c r="A146" s="13" t="inlineStr">
        <is>
          <t>Total stockholders' equity</t>
        </is>
      </c>
      <c r="B146" s="18" t="inlineStr">
        <is>
          <t>Q/E 2025-12-31</t>
        </is>
      </c>
      <c r="C146" s="29" t="n">
        <v>6992015</v>
      </c>
      <c r="D146" s="17" t="inlineStr">
        <is>
          <t>10-Q</t>
        </is>
      </c>
      <c r="E146" s="17" t="inlineStr">
        <is>
          <t>XBRL StockholdersEquity | 0001375365-26-000007</t>
        </is>
      </c>
      <c r="F146" s="16" t="inlineStr">
        <is>
          <t>FILED</t>
        </is>
      </c>
    </row>
    <row r="147">
      <c r="A147" s="13" t="inlineStr">
        <is>
          <t>Total stockholders' equity</t>
        </is>
      </c>
      <c r="B147" s="18" t="inlineStr">
        <is>
          <t>Q/E 2026-03-31</t>
        </is>
      </c>
      <c r="C147" s="29" t="n">
        <v>7575430</v>
      </c>
      <c r="D147" s="17" t="inlineStr">
        <is>
          <t>10-Q</t>
        </is>
      </c>
      <c r="E147" s="17" t="inlineStr">
        <is>
          <t>XBRL StockholdersEquity | 0001375365-26-000014</t>
        </is>
      </c>
      <c r="F147" s="16" t="inlineStr">
        <is>
          <t>FILED</t>
        </is>
      </c>
    </row>
    <row r="148">
      <c r="A148" s="13" t="inlineStr">
        <is>
          <t>Capital expenditures</t>
        </is>
      </c>
      <c r="B148" s="18" t="inlineStr">
        <is>
          <t>FY2023</t>
        </is>
      </c>
      <c r="C148" s="29" t="n">
        <v>36793</v>
      </c>
      <c r="D148" s="17" t="inlineStr">
        <is>
          <t>10-K</t>
        </is>
      </c>
      <c r="E148" s="17" t="inlineStr">
        <is>
          <t>XBRL PaymentsToAcquirePropertyPlantAndEquipment | 0001375365-23-000036</t>
        </is>
      </c>
      <c r="F148" s="16" t="inlineStr">
        <is>
          <t>FILED</t>
        </is>
      </c>
    </row>
    <row r="149">
      <c r="A149" s="13" t="inlineStr">
        <is>
          <t>Capital expenditures</t>
        </is>
      </c>
      <c r="B149" s="18" t="inlineStr">
        <is>
          <t>FY2024</t>
        </is>
      </c>
      <c r="C149" s="29" t="n">
        <v>124279</v>
      </c>
      <c r="D149" s="17" t="inlineStr">
        <is>
          <t>10-K</t>
        </is>
      </c>
      <c r="E149" s="17" t="inlineStr">
        <is>
          <t>XBRL PaymentsToAcquirePropertyPlantAndEquipment | 0001375365-25-000004</t>
        </is>
      </c>
      <c r="F149" s="16" t="inlineStr">
        <is>
          <t>FILED</t>
        </is>
      </c>
    </row>
    <row r="150">
      <c r="A150" s="13" t="inlineStr">
        <is>
          <t>Capital expenditures</t>
        </is>
      </c>
      <c r="B150" s="18" t="inlineStr">
        <is>
          <t>FY2025</t>
        </is>
      </c>
      <c r="C150" s="29" t="n">
        <v>127214</v>
      </c>
      <c r="D150" s="17" t="inlineStr">
        <is>
          <t>10-K</t>
        </is>
      </c>
      <c r="E150" s="17" t="inlineStr">
        <is>
          <t>XBRL PaymentsToAcquirePropertyPlantAndEquipment | 0001375365-25-000027</t>
        </is>
      </c>
      <c r="F150" s="16" t="inlineStr">
        <is>
          <t>FILED</t>
        </is>
      </c>
    </row>
    <row r="151">
      <c r="A151" s="13" t="inlineStr">
        <is>
          <t>Capital expenditures</t>
        </is>
      </c>
      <c r="B151" s="18" t="inlineStr">
        <is>
          <t>Q/E 2024-09-30</t>
        </is>
      </c>
      <c r="C151" s="29" t="n">
        <v>44300</v>
      </c>
      <c r="D151" s="17" t="inlineStr">
        <is>
          <t>10-Q</t>
        </is>
      </c>
      <c r="E151" s="17" t="inlineStr">
        <is>
          <t>XBRL PaymentsToAcquirePropertyPlantAndEquipment | 0001375365-25-000005</t>
        </is>
      </c>
      <c r="F151" s="16" t="inlineStr">
        <is>
          <t>FILED</t>
        </is>
      </c>
    </row>
    <row r="152">
      <c r="A152" s="13" t="inlineStr">
        <is>
          <t>Capital expenditures</t>
        </is>
      </c>
      <c r="B152" s="18" t="inlineStr">
        <is>
          <t>Q/E 2025-09-30</t>
        </is>
      </c>
      <c r="C152" s="29" t="n">
        <v>32270</v>
      </c>
      <c r="D152" s="17" t="inlineStr">
        <is>
          <t>10-Q</t>
        </is>
      </c>
      <c r="E152" s="17" t="inlineStr">
        <is>
          <t>XBRL PaymentsToAcquirePropertyPlantAndEquipment | 0001375365-25-000030</t>
        </is>
      </c>
      <c r="F152" s="16" t="inlineStr">
        <is>
          <t>FILED</t>
        </is>
      </c>
    </row>
    <row r="153">
      <c r="A153" s="13" t="inlineStr">
        <is>
          <t>Change in inventories</t>
        </is>
      </c>
      <c r="B153" s="18" t="inlineStr">
        <is>
          <t>FY2023</t>
        </is>
      </c>
      <c r="C153" s="29" t="n">
        <v>-100042</v>
      </c>
      <c r="D153" s="17" t="inlineStr">
        <is>
          <t>10-K</t>
        </is>
      </c>
      <c r="E153" s="17" t="inlineStr">
        <is>
          <t>XBRL IncreaseDecreaseInInventories | 0001375365-23-000036</t>
        </is>
      </c>
      <c r="F153" s="16" t="inlineStr">
        <is>
          <t>FILED</t>
        </is>
      </c>
    </row>
    <row r="154">
      <c r="A154" s="13" t="inlineStr">
        <is>
          <t>Change in inventories</t>
        </is>
      </c>
      <c r="B154" s="18" t="inlineStr">
        <is>
          <t>FY2024</t>
        </is>
      </c>
      <c r="C154" s="29" t="n">
        <v>2899996</v>
      </c>
      <c r="D154" s="17" t="inlineStr">
        <is>
          <t>10-K</t>
        </is>
      </c>
      <c r="E154" s="17" t="inlineStr">
        <is>
          <t>XBRL IncreaseDecreaseInInventories | 0001375365-25-000004</t>
        </is>
      </c>
      <c r="F154" s="16" t="inlineStr">
        <is>
          <t>FILED</t>
        </is>
      </c>
    </row>
    <row r="155">
      <c r="A155" s="13" t="inlineStr">
        <is>
          <t>Change in inventories</t>
        </is>
      </c>
      <c r="B155" s="18" t="inlineStr">
        <is>
          <t>FY2025</t>
        </is>
      </c>
      <c r="C155" s="29" t="n">
        <v>355606</v>
      </c>
      <c r="D155" s="17" t="inlineStr">
        <is>
          <t>10-K</t>
        </is>
      </c>
      <c r="E155" s="17" t="inlineStr">
        <is>
          <t>XBRL IncreaseDecreaseInInventories | 0001375365-25-000027</t>
        </is>
      </c>
      <c r="F155" s="16" t="inlineStr">
        <is>
          <t>FILED</t>
        </is>
      </c>
    </row>
    <row r="156">
      <c r="A156" s="13" t="inlineStr">
        <is>
          <t>Change in inventories</t>
        </is>
      </c>
      <c r="B156" s="18" t="inlineStr">
        <is>
          <t>Q/E 2024-09-30</t>
        </is>
      </c>
      <c r="C156" s="29" t="n">
        <v>597717</v>
      </c>
      <c r="D156" s="17" t="inlineStr">
        <is>
          <t>10-Q</t>
        </is>
      </c>
      <c r="E156" s="17" t="inlineStr">
        <is>
          <t>XBRL IncreaseDecreaseInInventories | 0001375365-25-000005</t>
        </is>
      </c>
      <c r="F156" s="16" t="inlineStr">
        <is>
          <t>FILED</t>
        </is>
      </c>
    </row>
    <row r="157">
      <c r="A157" s="13" t="inlineStr">
        <is>
          <t>Change in inventories</t>
        </is>
      </c>
      <c r="B157" s="18" t="inlineStr">
        <is>
          <t>Q/E 2025-09-30</t>
        </is>
      </c>
      <c r="C157" s="29" t="n">
        <v>1087010</v>
      </c>
      <c r="D157" s="17" t="inlineStr">
        <is>
          <t>10-Q</t>
        </is>
      </c>
      <c r="E157" s="17" t="inlineStr">
        <is>
          <t>XBRL IncreaseDecreaseInInventories | 0001375365-25-000030</t>
        </is>
      </c>
      <c r="F157" s="16" t="inlineStr">
        <is>
          <t>FILED</t>
        </is>
      </c>
    </row>
    <row r="158">
      <c r="A158" s="13" t="inlineStr">
        <is>
          <t>Change in payables</t>
        </is>
      </c>
      <c r="B158" s="18" t="inlineStr">
        <is>
          <t>FY2023</t>
        </is>
      </c>
      <c r="C158" s="29" t="n">
        <v>127135</v>
      </c>
      <c r="D158" s="17" t="inlineStr">
        <is>
          <t>10-K</t>
        </is>
      </c>
      <c r="E158" s="17" t="inlineStr">
        <is>
          <t>XBRL IncreaseDecreaseInAccountsPayable | 0001375365-23-000036</t>
        </is>
      </c>
      <c r="F158" s="16" t="inlineStr">
        <is>
          <t>FILED</t>
        </is>
      </c>
    </row>
    <row r="159">
      <c r="A159" s="13" t="inlineStr">
        <is>
          <t>Change in payables</t>
        </is>
      </c>
      <c r="B159" s="18" t="inlineStr">
        <is>
          <t>FY2024</t>
        </is>
      </c>
      <c r="C159" s="29" t="n">
        <v>679190</v>
      </c>
      <c r="D159" s="17" t="inlineStr">
        <is>
          <t>10-K</t>
        </is>
      </c>
      <c r="E159" s="17" t="inlineStr">
        <is>
          <t>XBRL IncreaseDecreaseInAccountsPayable | 0001375365-25-000004</t>
        </is>
      </c>
      <c r="F159" s="16" t="inlineStr">
        <is>
          <t>FILED</t>
        </is>
      </c>
    </row>
    <row r="160">
      <c r="A160" s="13" t="inlineStr">
        <is>
          <t>Change in payables</t>
        </is>
      </c>
      <c r="B160" s="18" t="inlineStr">
        <is>
          <t>FY2025</t>
        </is>
      </c>
      <c r="C160" s="29" t="n">
        <v>-180968</v>
      </c>
      <c r="D160" s="17" t="inlineStr">
        <is>
          <t>10-K</t>
        </is>
      </c>
      <c r="E160" s="17" t="inlineStr">
        <is>
          <t>XBRL IncreaseDecreaseInAccountsPayable | 0001375365-25-000027</t>
        </is>
      </c>
      <c r="F160" s="16" t="inlineStr">
        <is>
          <t>FILED</t>
        </is>
      </c>
    </row>
    <row r="161">
      <c r="A161" s="13" t="inlineStr">
        <is>
          <t>Change in payables</t>
        </is>
      </c>
      <c r="B161" s="18" t="inlineStr">
        <is>
          <t>Q/E 2024-09-30</t>
        </is>
      </c>
      <c r="C161" s="29" t="n">
        <v>220353</v>
      </c>
      <c r="D161" s="17" t="inlineStr">
        <is>
          <t>10-Q</t>
        </is>
      </c>
      <c r="E161" s="17" t="inlineStr">
        <is>
          <t>XBRL IncreaseDecreaseInAccountsPayable | 0001375365-25-000005</t>
        </is>
      </c>
      <c r="F161" s="16" t="inlineStr">
        <is>
          <t>FILED</t>
        </is>
      </c>
    </row>
    <row r="162">
      <c r="A162" s="13" t="inlineStr">
        <is>
          <t>Change in payables</t>
        </is>
      </c>
      <c r="B162" s="18" t="inlineStr">
        <is>
          <t>Q/E 2025-09-30</t>
        </is>
      </c>
      <c r="C162" s="29" t="n">
        <v>901</v>
      </c>
      <c r="D162" s="17" t="inlineStr">
        <is>
          <t>10-Q</t>
        </is>
      </c>
      <c r="E162" s="17" t="inlineStr">
        <is>
          <t>XBRL IncreaseDecreaseInAccountsPayable | 0001375365-25-000030</t>
        </is>
      </c>
      <c r="F162" s="16" t="inlineStr">
        <is>
          <t>FILED</t>
        </is>
      </c>
    </row>
    <row r="163">
      <c r="A163" s="13" t="inlineStr">
        <is>
          <t>Change in receivables</t>
        </is>
      </c>
      <c r="B163" s="18" t="inlineStr">
        <is>
          <t>FY2023</t>
        </is>
      </c>
      <c r="C163" s="29" t="n">
        <v>311897</v>
      </c>
      <c r="D163" s="17" t="inlineStr">
        <is>
          <t>10-K</t>
        </is>
      </c>
      <c r="E163" s="17" t="inlineStr">
        <is>
          <t>XBRL IncreaseDecreaseInAccountsReceivable | 0001375365-23-000036</t>
        </is>
      </c>
      <c r="F163" s="16" t="inlineStr">
        <is>
          <t>FILED</t>
        </is>
      </c>
    </row>
    <row r="164">
      <c r="A164" s="13" t="inlineStr">
        <is>
          <t>Change in receivables</t>
        </is>
      </c>
      <c r="B164" s="18" t="inlineStr">
        <is>
          <t>FY2024</t>
        </is>
      </c>
      <c r="C164" s="29" t="n">
        <v>1589187</v>
      </c>
      <c r="D164" s="17" t="inlineStr">
        <is>
          <t>10-K</t>
        </is>
      </c>
      <c r="E164" s="17" t="inlineStr">
        <is>
          <t>XBRL IncreaseDecreaseInAccountsReceivable | 0001375365-25-000004</t>
        </is>
      </c>
      <c r="F164" s="16" t="inlineStr">
        <is>
          <t>FILED</t>
        </is>
      </c>
    </row>
    <row r="165">
      <c r="A165" s="13" t="inlineStr">
        <is>
          <t>Change in receivables</t>
        </is>
      </c>
      <c r="B165" s="18" t="inlineStr">
        <is>
          <t>FY2025</t>
        </is>
      </c>
      <c r="C165" s="29" t="n">
        <v>-533341</v>
      </c>
      <c r="D165" s="17" t="inlineStr">
        <is>
          <t>10-K</t>
        </is>
      </c>
      <c r="E165" s="17" t="inlineStr">
        <is>
          <t>XBRL IncreaseDecreaseInAccountsReceivable | 0001375365-25-000027</t>
        </is>
      </c>
      <c r="F165" s="16" t="inlineStr">
        <is>
          <t>FILED</t>
        </is>
      </c>
    </row>
    <row r="166">
      <c r="A166" s="13" t="inlineStr">
        <is>
          <t>Change in receivables</t>
        </is>
      </c>
      <c r="B166" s="18" t="inlineStr">
        <is>
          <t>Q/E 2024-09-30</t>
        </is>
      </c>
      <c r="C166" s="29" t="n">
        <v>-15288</v>
      </c>
      <c r="D166" s="17" t="inlineStr">
        <is>
          <t>10-Q</t>
        </is>
      </c>
      <c r="E166" s="17" t="inlineStr">
        <is>
          <t>XBRL IncreaseDecreaseInAccountsReceivable | 0001375365-25-000005</t>
        </is>
      </c>
      <c r="F166" s="16" t="inlineStr">
        <is>
          <t>FILED</t>
        </is>
      </c>
    </row>
    <row r="167">
      <c r="A167" s="13" t="inlineStr">
        <is>
          <t>Change in receivables</t>
        </is>
      </c>
      <c r="B167" s="18" t="inlineStr">
        <is>
          <t>Q/E 2025-09-30</t>
        </is>
      </c>
      <c r="C167" s="29" t="n">
        <v>321244</v>
      </c>
      <c r="D167" s="17" t="inlineStr">
        <is>
          <t>10-Q</t>
        </is>
      </c>
      <c r="E167" s="17" t="inlineStr">
        <is>
          <t>XBRL IncreaseDecreaseInAccountsReceivable | 0001375365-25-000030</t>
        </is>
      </c>
      <c r="F167" s="16" t="inlineStr">
        <is>
          <t>FILED</t>
        </is>
      </c>
    </row>
    <row r="168">
      <c r="A168" s="13" t="inlineStr">
        <is>
          <t>D&amp;A (cash flow)</t>
        </is>
      </c>
      <c r="B168" s="18" t="inlineStr">
        <is>
          <t>FY2023</t>
        </is>
      </c>
      <c r="C168" s="29" t="n">
        <v>34904</v>
      </c>
      <c r="D168" s="17" t="inlineStr">
        <is>
          <t>10-K</t>
        </is>
      </c>
      <c r="E168" s="17" t="inlineStr">
        <is>
          <t>XBRL DepreciationDepletionAndAmortization | 0001375365-23-000036</t>
        </is>
      </c>
      <c r="F168" s="16" t="inlineStr">
        <is>
          <t>FILED</t>
        </is>
      </c>
    </row>
    <row r="169">
      <c r="A169" s="13" t="inlineStr">
        <is>
          <t>D&amp;A (cash flow)</t>
        </is>
      </c>
      <c r="B169" s="18" t="inlineStr">
        <is>
          <t>FY2024</t>
        </is>
      </c>
      <c r="C169" s="29" t="n">
        <v>30100</v>
      </c>
      <c r="D169" s="17" t="inlineStr">
        <is>
          <t>10-K</t>
        </is>
      </c>
      <c r="E169" s="17" t="inlineStr">
        <is>
          <t>XBRL DepreciationDepletionAndAmortization | 0001375365-25-000004</t>
        </is>
      </c>
      <c r="F169" s="16" t="inlineStr">
        <is>
          <t>FILED</t>
        </is>
      </c>
    </row>
    <row r="170">
      <c r="A170" s="13" t="inlineStr">
        <is>
          <t>D&amp;A (cash flow)</t>
        </is>
      </c>
      <c r="B170" s="18" t="inlineStr">
        <is>
          <t>FY2025</t>
        </is>
      </c>
      <c r="C170" s="29" t="n">
        <v>41000</v>
      </c>
      <c r="D170" s="17" t="inlineStr">
        <is>
          <t>10-K</t>
        </is>
      </c>
      <c r="E170" s="17" t="inlineStr">
        <is>
          <t>XBRL DepreciationDepletionAndAmortization | 0001375365-25-000027</t>
        </is>
      </c>
      <c r="F170" s="16" t="inlineStr">
        <is>
          <t>FILED</t>
        </is>
      </c>
    </row>
    <row r="171">
      <c r="A171" s="13" t="inlineStr">
        <is>
          <t>D&amp;A (cash flow)</t>
        </is>
      </c>
      <c r="B171" s="18" t="inlineStr">
        <is>
          <t>Q/E 2024-09-30</t>
        </is>
      </c>
      <c r="C171" s="29" t="n">
        <v>9000</v>
      </c>
      <c r="D171" s="17" t="inlineStr">
        <is>
          <t>10-Q</t>
        </is>
      </c>
      <c r="E171" s="17" t="inlineStr">
        <is>
          <t>XBRL DepreciationDepletionAndAmortization | 0001375365-25-000005</t>
        </is>
      </c>
      <c r="F171" s="16" t="inlineStr">
        <is>
          <t>FILED</t>
        </is>
      </c>
    </row>
    <row r="172">
      <c r="A172" s="13" t="inlineStr">
        <is>
          <t>D&amp;A (cash flow)</t>
        </is>
      </c>
      <c r="B172" s="18" t="inlineStr">
        <is>
          <t>Q/E 2024-12-31</t>
        </is>
      </c>
      <c r="C172" s="29" t="n">
        <v>9500</v>
      </c>
      <c r="D172" s="17" t="inlineStr">
        <is>
          <t>10-Q</t>
        </is>
      </c>
      <c r="E172" s="17" t="inlineStr">
        <is>
          <t>XBRL DepreciationDepletionAndAmortization | 0001375365-25-000006</t>
        </is>
      </c>
      <c r="F172" s="16" t="inlineStr">
        <is>
          <t>FILED</t>
        </is>
      </c>
    </row>
    <row r="173">
      <c r="A173" s="13" t="inlineStr">
        <is>
          <t>D&amp;A (cash flow)</t>
        </is>
      </c>
      <c r="B173" s="18" t="inlineStr">
        <is>
          <t>Q/E 2025-03-31</t>
        </is>
      </c>
      <c r="C173" s="29" t="n">
        <v>10900</v>
      </c>
      <c r="D173" s="17" t="inlineStr">
        <is>
          <t>10-Q</t>
        </is>
      </c>
      <c r="E173" s="17" t="inlineStr">
        <is>
          <t>XBRL DepreciationDepletionAndAmortization | 0001375365-25-000014</t>
        </is>
      </c>
      <c r="F173" s="16" t="inlineStr">
        <is>
          <t>FILED</t>
        </is>
      </c>
    </row>
    <row r="174">
      <c r="A174" s="13" t="inlineStr">
        <is>
          <t>D&amp;A (cash flow)</t>
        </is>
      </c>
      <c r="B174" s="18" t="inlineStr">
        <is>
          <t>Q/E 2025-09-30</t>
        </is>
      </c>
      <c r="C174" s="29" t="n">
        <v>12100</v>
      </c>
      <c r="D174" s="17" t="inlineStr">
        <is>
          <t>10-Q</t>
        </is>
      </c>
      <c r="E174" s="17" t="inlineStr">
        <is>
          <t>XBRL DepreciationDepletionAndAmortization | 0001375365-25-000030</t>
        </is>
      </c>
      <c r="F174" s="16" t="inlineStr">
        <is>
          <t>FILED</t>
        </is>
      </c>
    </row>
    <row r="175">
      <c r="A175" s="13" t="inlineStr">
        <is>
          <t>D&amp;A (cash flow)</t>
        </is>
      </c>
      <c r="B175" s="18" t="inlineStr">
        <is>
          <t>Q/E 2025-12-31</t>
        </is>
      </c>
      <c r="C175" s="29" t="n">
        <v>12800</v>
      </c>
      <c r="D175" s="17" t="inlineStr">
        <is>
          <t>10-Q</t>
        </is>
      </c>
      <c r="E175" s="17" t="inlineStr">
        <is>
          <t>XBRL DepreciationDepletionAndAmortization | 0001375365-26-000007</t>
        </is>
      </c>
      <c r="F175" s="16" t="inlineStr">
        <is>
          <t>FILED</t>
        </is>
      </c>
    </row>
    <row r="176">
      <c r="A176" s="13" t="inlineStr">
        <is>
          <t>D&amp;A (cash flow)</t>
        </is>
      </c>
      <c r="B176" s="18" t="inlineStr">
        <is>
          <t>Q/E 2026-03-31</t>
        </is>
      </c>
      <c r="C176" s="29" t="n">
        <v>13500</v>
      </c>
      <c r="D176" s="17" t="inlineStr">
        <is>
          <t>10-Q</t>
        </is>
      </c>
      <c r="E176" s="17" t="inlineStr">
        <is>
          <t>XBRL DepreciationDepletionAndAmortization | 0001375365-26-000014</t>
        </is>
      </c>
      <c r="F176" s="16" t="inlineStr">
        <is>
          <t>FILED</t>
        </is>
      </c>
    </row>
    <row r="177">
      <c r="A177" s="13" t="inlineStr">
        <is>
          <t>Operating cash flow</t>
        </is>
      </c>
      <c r="B177" s="18" t="inlineStr">
        <is>
          <t>FY2023</t>
        </is>
      </c>
      <c r="C177" s="29" t="n">
        <v>663580</v>
      </c>
      <c r="D177" s="17" t="inlineStr">
        <is>
          <t>10-K</t>
        </is>
      </c>
      <c r="E177" s="17" t="inlineStr">
        <is>
          <t>XBRL NetCashProvidedByUsedInOperatingActivities | 0001375365-23-000036</t>
        </is>
      </c>
      <c r="F177" s="16" t="inlineStr">
        <is>
          <t>FILED</t>
        </is>
      </c>
    </row>
    <row r="178">
      <c r="A178" s="13" t="inlineStr">
        <is>
          <t>Operating cash flow</t>
        </is>
      </c>
      <c r="B178" s="18" t="inlineStr">
        <is>
          <t>FY2024</t>
        </is>
      </c>
      <c r="C178" s="29" t="n">
        <v>-2485972</v>
      </c>
      <c r="D178" s="17" t="inlineStr">
        <is>
          <t>10-K</t>
        </is>
      </c>
      <c r="E178" s="17" t="inlineStr">
        <is>
          <t>XBRL NetCashProvidedByUsedInOperatingActivities | 0001375365-25-000004</t>
        </is>
      </c>
      <c r="F178" s="16" t="inlineStr">
        <is>
          <t>FILED</t>
        </is>
      </c>
    </row>
    <row r="179">
      <c r="A179" s="13" t="inlineStr">
        <is>
          <t>Operating cash flow</t>
        </is>
      </c>
      <c r="B179" s="18" t="inlineStr">
        <is>
          <t>FY2025</t>
        </is>
      </c>
      <c r="C179" s="29" t="n">
        <v>1659524</v>
      </c>
      <c r="D179" s="17" t="inlineStr">
        <is>
          <t>10-K</t>
        </is>
      </c>
      <c r="E179" s="17" t="inlineStr">
        <is>
          <t>XBRL NetCashProvidedByUsedInOperatingActivities | 0001375365-25-000027</t>
        </is>
      </c>
      <c r="F179" s="16" t="inlineStr">
        <is>
          <t>FILED</t>
        </is>
      </c>
    </row>
    <row r="180">
      <c r="A180" s="13" t="inlineStr">
        <is>
          <t>Operating cash flow</t>
        </is>
      </c>
      <c r="B180" s="18" t="inlineStr">
        <is>
          <t>Q/E 2024-09-30</t>
        </is>
      </c>
      <c r="C180" s="29" t="n">
        <v>408904</v>
      </c>
      <c r="D180" s="17" t="inlineStr">
        <is>
          <t>10-Q</t>
        </is>
      </c>
      <c r="E180" s="17" t="inlineStr">
        <is>
          <t>XBRL NetCashProvidedByUsedInOperatingActivities | 0001375365-25-000005</t>
        </is>
      </c>
      <c r="F180" s="16" t="inlineStr">
        <is>
          <t>FILED</t>
        </is>
      </c>
    </row>
    <row r="181">
      <c r="A181" s="13" t="inlineStr">
        <is>
          <t>Operating cash flow</t>
        </is>
      </c>
      <c r="B181" s="18" t="inlineStr">
        <is>
          <t>Q/E 2025-09-30</t>
        </is>
      </c>
      <c r="C181" s="29" t="n">
        <v>-917523</v>
      </c>
      <c r="D181" s="17" t="inlineStr">
        <is>
          <t>10-Q</t>
        </is>
      </c>
      <c r="E181" s="17" t="inlineStr">
        <is>
          <t>XBRL NetCashProvidedByUsedInOperatingActivities | 0001375365-25-000030</t>
        </is>
      </c>
      <c r="F181" s="16" t="inlineStr">
        <is>
          <t>FILED</t>
        </is>
      </c>
    </row>
    <row r="182">
      <c r="A182" s="13" t="inlineStr">
        <is>
          <t>Stock-based compensation</t>
        </is>
      </c>
      <c r="B182" s="18" t="inlineStr">
        <is>
          <t>FY2023</t>
        </is>
      </c>
      <c r="C182" s="29" t="n">
        <v>54433</v>
      </c>
      <c r="D182" s="17" t="inlineStr">
        <is>
          <t>10-K</t>
        </is>
      </c>
      <c r="E182" s="17" t="inlineStr">
        <is>
          <t>XBRL ShareBasedCompensation | 0001375365-23-000036</t>
        </is>
      </c>
      <c r="F182" s="16" t="inlineStr">
        <is>
          <t>FILED</t>
        </is>
      </c>
    </row>
    <row r="183">
      <c r="A183" s="13" t="inlineStr">
        <is>
          <t>Stock-based compensation</t>
        </is>
      </c>
      <c r="B183" s="18" t="inlineStr">
        <is>
          <t>FY2024</t>
        </is>
      </c>
      <c r="C183" s="29" t="n">
        <v>231507</v>
      </c>
      <c r="D183" s="17" t="inlineStr">
        <is>
          <t>10-K</t>
        </is>
      </c>
      <c r="E183" s="17" t="inlineStr">
        <is>
          <t>XBRL ShareBasedCompensation | 0001375365-25-000004</t>
        </is>
      </c>
      <c r="F183" s="16" t="inlineStr">
        <is>
          <t>FILED</t>
        </is>
      </c>
    </row>
    <row r="184">
      <c r="A184" s="13" t="inlineStr">
        <is>
          <t>Stock-based compensation</t>
        </is>
      </c>
      <c r="B184" s="18" t="inlineStr">
        <is>
          <t>FY2025</t>
        </is>
      </c>
      <c r="C184" s="29" t="n">
        <v>314452</v>
      </c>
      <c r="D184" s="17" t="inlineStr">
        <is>
          <t>10-K</t>
        </is>
      </c>
      <c r="E184" s="17" t="inlineStr">
        <is>
          <t>XBRL ShareBasedCompensation | 0001375365-25-000027</t>
        </is>
      </c>
      <c r="F184" s="16" t="inlineStr">
        <is>
          <t>FILED</t>
        </is>
      </c>
    </row>
    <row r="185">
      <c r="A185" s="13" t="inlineStr">
        <is>
          <t>Stock-based compensation</t>
        </is>
      </c>
      <c r="B185" s="18" t="inlineStr">
        <is>
          <t>Q/E 2024-09-30</t>
        </is>
      </c>
      <c r="C185" s="29" t="n">
        <v>64014</v>
      </c>
      <c r="D185" s="17" t="inlineStr">
        <is>
          <t>10-Q</t>
        </is>
      </c>
      <c r="E185" s="17" t="inlineStr">
        <is>
          <t>XBRL ShareBasedCompensation | 0001375365-25-000005</t>
        </is>
      </c>
      <c r="F185" s="16" t="inlineStr">
        <is>
          <t>FILED</t>
        </is>
      </c>
    </row>
    <row r="186">
      <c r="A186" s="13" t="inlineStr">
        <is>
          <t>Stock-based compensation</t>
        </is>
      </c>
      <c r="B186" s="18" t="inlineStr">
        <is>
          <t>Q/E 2025-09-30</t>
        </is>
      </c>
      <c r="C186" s="29" t="n">
        <v>89139</v>
      </c>
      <c r="D186" s="17" t="inlineStr">
        <is>
          <t>10-Q</t>
        </is>
      </c>
      <c r="E186" s="17" t="inlineStr">
        <is>
          <t>XBRL ShareBasedCompensation | 0001375365-25-000030</t>
        </is>
      </c>
      <c r="F186" s="16" t="inlineStr">
        <is>
          <t>FILED</t>
        </is>
      </c>
    </row>
    <row r="187">
      <c r="A187" s="13" t="inlineStr">
        <is>
          <t>Cost of revenue (alt tag)</t>
        </is>
      </c>
      <c r="B187" s="18" t="inlineStr">
        <is>
          <t>FY2023</t>
        </is>
      </c>
      <c r="C187" s="29" t="n">
        <v>5840470</v>
      </c>
      <c r="D187" s="17" t="inlineStr">
        <is>
          <t>10-K</t>
        </is>
      </c>
      <c r="E187" s="17" t="inlineStr">
        <is>
          <t>XBRL CostOfRevenue | 0001375365-23-000036</t>
        </is>
      </c>
      <c r="F187" s="16" t="inlineStr">
        <is>
          <t>FILED</t>
        </is>
      </c>
    </row>
    <row r="188">
      <c r="A188" s="13" t="inlineStr">
        <is>
          <t>Cost of revenue (alt tag)</t>
        </is>
      </c>
      <c r="B188" s="18" t="inlineStr">
        <is>
          <t>FY2024</t>
        </is>
      </c>
      <c r="C188" s="29" t="n">
        <v>12927841</v>
      </c>
      <c r="D188" s="17" t="inlineStr">
        <is>
          <t>10-K</t>
        </is>
      </c>
      <c r="E188" s="17" t="inlineStr">
        <is>
          <t>XBRL CostOfRevenue | 0001375365-25-000004</t>
        </is>
      </c>
      <c r="F188" s="16" t="inlineStr">
        <is>
          <t>FILED</t>
        </is>
      </c>
    </row>
    <row r="189">
      <c r="A189" s="13" t="inlineStr">
        <is>
          <t>Cost of revenue (alt tag)</t>
        </is>
      </c>
      <c r="B189" s="18" t="inlineStr">
        <is>
          <t>FY2025</t>
        </is>
      </c>
      <c r="C189" s="29" t="n">
        <v>19542120</v>
      </c>
      <c r="D189" s="17" t="inlineStr">
        <is>
          <t>10-K</t>
        </is>
      </c>
      <c r="E189" s="17" t="inlineStr">
        <is>
          <t>XBRL CostOfRevenue | 0001375365-25-000027</t>
        </is>
      </c>
      <c r="F189" s="16" t="inlineStr">
        <is>
          <t>FILED</t>
        </is>
      </c>
    </row>
    <row r="190">
      <c r="A190" s="13" t="inlineStr">
        <is>
          <t>Cost of revenue (alt tag)</t>
        </is>
      </c>
      <c r="B190" s="18" t="inlineStr">
        <is>
          <t>Q/E 2024-09-30</t>
        </is>
      </c>
      <c r="C190" s="29" t="n">
        <v>5161676</v>
      </c>
      <c r="D190" s="17" t="inlineStr">
        <is>
          <t>10-Q</t>
        </is>
      </c>
      <c r="E190" s="17" t="inlineStr">
        <is>
          <t>XBRL CostOfRevenue | 0001375365-25-000005</t>
        </is>
      </c>
      <c r="F190" s="16" t="inlineStr">
        <is>
          <t>FILED</t>
        </is>
      </c>
    </row>
    <row r="191">
      <c r="A191" s="13" t="inlineStr">
        <is>
          <t>Cost of revenue (alt tag)</t>
        </is>
      </c>
      <c r="B191" s="18" t="inlineStr">
        <is>
          <t>Q/E 2024-12-31</t>
        </is>
      </c>
      <c r="C191" s="29" t="n">
        <v>5007940</v>
      </c>
      <c r="D191" s="17" t="inlineStr">
        <is>
          <t>10-Q</t>
        </is>
      </c>
      <c r="E191" s="17" t="inlineStr">
        <is>
          <t>XBRL CostOfRevenue | 0001375365-25-000006</t>
        </is>
      </c>
      <c r="F191" s="16" t="inlineStr">
        <is>
          <t>FILED</t>
        </is>
      </c>
    </row>
    <row r="192">
      <c r="A192" s="13" t="inlineStr">
        <is>
          <t>Cost of revenue (alt tag)</t>
        </is>
      </c>
      <c r="B192" s="18" t="inlineStr">
        <is>
          <t>Q/E 2025-03-31</t>
        </is>
      </c>
      <c r="C192" s="29" t="n">
        <v>4159695</v>
      </c>
      <c r="D192" s="17" t="inlineStr">
        <is>
          <t>10-Q</t>
        </is>
      </c>
      <c r="E192" s="17" t="inlineStr">
        <is>
          <t>XBRL CostOfRevenue | 0001375365-25-000014</t>
        </is>
      </c>
      <c r="F192" s="16" t="inlineStr">
        <is>
          <t>FILED</t>
        </is>
      </c>
    </row>
    <row r="193">
      <c r="A193" s="13" t="inlineStr">
        <is>
          <t>Cost of revenue (alt tag)</t>
        </is>
      </c>
      <c r="B193" s="18" t="inlineStr">
        <is>
          <t>Q/E 2025-09-30</t>
        </is>
      </c>
      <c r="C193" s="29" t="n">
        <v>4550417</v>
      </c>
      <c r="D193" s="17" t="inlineStr">
        <is>
          <t>10-Q</t>
        </is>
      </c>
      <c r="E193" s="17" t="inlineStr">
        <is>
          <t>XBRL CostOfRevenue | 0001375365-25-000030</t>
        </is>
      </c>
      <c r="F193" s="16" t="inlineStr">
        <is>
          <t>FILED</t>
        </is>
      </c>
    </row>
    <row r="194">
      <c r="A194" s="13" t="inlineStr">
        <is>
          <t>Cost of revenue (alt tag)</t>
        </is>
      </c>
      <c r="B194" s="18" t="inlineStr">
        <is>
          <t>Q/E 2025-12-31</t>
        </is>
      </c>
      <c r="C194" s="29" t="n">
        <v>11883924</v>
      </c>
      <c r="D194" s="17" t="inlineStr">
        <is>
          <t>10-Q</t>
        </is>
      </c>
      <c r="E194" s="17" t="inlineStr">
        <is>
          <t>XBRL CostOfRevenue | 0001375365-26-000007</t>
        </is>
      </c>
      <c r="F194" s="16" t="inlineStr">
        <is>
          <t>FILED</t>
        </is>
      </c>
    </row>
    <row r="195">
      <c r="A195" s="13" t="inlineStr">
        <is>
          <t>Cost of revenue (alt tag)</t>
        </is>
      </c>
      <c r="B195" s="18" t="inlineStr">
        <is>
          <t>Q/E 2026-03-31</t>
        </is>
      </c>
      <c r="C195" s="29" t="n">
        <v>9224334</v>
      </c>
      <c r="D195" s="17" t="inlineStr">
        <is>
          <t>10-Q</t>
        </is>
      </c>
      <c r="E195" s="17" t="inlineStr">
        <is>
          <t>XBRL CostOfRevenue | 0001375365-26-000014</t>
        </is>
      </c>
      <c r="F195" s="16" t="inlineStr">
        <is>
          <t>FILED</t>
        </is>
      </c>
    </row>
    <row r="196">
      <c r="A196" s="13" t="inlineStr">
        <is>
          <t>General and administrative</t>
        </is>
      </c>
      <c r="B196" s="18" t="inlineStr">
        <is>
          <t>FY2023</t>
        </is>
      </c>
      <c r="C196" s="29" t="n">
        <v>99585</v>
      </c>
      <c r="D196" s="17" t="inlineStr">
        <is>
          <t>SMCI FY2025 10-K</t>
        </is>
      </c>
      <c r="E196" s="17" t="inlineStr">
        <is>
          <t>Consolidated Statements of Operations (XBRL GeneralAndAdministrativeExpense)</t>
        </is>
      </c>
      <c r="F196" s="16" t="inlineStr">
        <is>
          <t>FILED</t>
        </is>
      </c>
    </row>
    <row r="197">
      <c r="A197" s="13" t="inlineStr">
        <is>
          <t>General and administrative</t>
        </is>
      </c>
      <c r="B197" s="18" t="inlineStr">
        <is>
          <t>FY2024</t>
        </is>
      </c>
      <c r="C197" s="29" t="n">
        <v>197350</v>
      </c>
      <c r="D197" s="17" t="inlineStr">
        <is>
          <t>SMCI FY2025 10-K</t>
        </is>
      </c>
      <c r="E197" s="17" t="inlineStr">
        <is>
          <t>Consolidated Statements of Operations (XBRL GeneralAndAdministrativeExpense)</t>
        </is>
      </c>
      <c r="F197" s="16" t="inlineStr">
        <is>
          <t>FILED</t>
        </is>
      </c>
    </row>
    <row r="198">
      <c r="A198" s="13" t="inlineStr">
        <is>
          <t>General and administrative</t>
        </is>
      </c>
      <c r="B198" s="18" t="inlineStr">
        <is>
          <t>FY2025</t>
        </is>
      </c>
      <c r="C198" s="29" t="n">
        <v>267239</v>
      </c>
      <c r="D198" s="17" t="inlineStr">
        <is>
          <t>SMCI FY2025 10-K</t>
        </is>
      </c>
      <c r="E198" s="17" t="inlineStr">
        <is>
          <t>Consolidated Statements of Operations (XBRL GeneralAndAdministrativeExpense)</t>
        </is>
      </c>
      <c r="F198" s="16" t="inlineStr">
        <is>
          <t>FILED</t>
        </is>
      </c>
    </row>
    <row r="199">
      <c r="A199" s="13" t="inlineStr">
        <is>
          <t>Gross profit</t>
        </is>
      </c>
      <c r="B199" s="18" t="inlineStr">
        <is>
          <t>FY2023</t>
        </is>
      </c>
      <c r="C199" s="29" t="n">
        <v>1283012</v>
      </c>
      <c r="D199" s="17" t="inlineStr">
        <is>
          <t>10-K</t>
        </is>
      </c>
      <c r="E199" s="17" t="inlineStr">
        <is>
          <t>XBRL GrossProfit | 0001375365-23-000036</t>
        </is>
      </c>
      <c r="F199" s="16" t="inlineStr">
        <is>
          <t>FILED</t>
        </is>
      </c>
    </row>
    <row r="200">
      <c r="A200" s="13" t="inlineStr">
        <is>
          <t>Gross profit</t>
        </is>
      </c>
      <c r="B200" s="18" t="inlineStr">
        <is>
          <t>FY2024</t>
        </is>
      </c>
      <c r="C200" s="29" t="n">
        <v>2061410</v>
      </c>
      <c r="D200" s="17" t="inlineStr">
        <is>
          <t>10-K</t>
        </is>
      </c>
      <c r="E200" s="17" t="inlineStr">
        <is>
          <t>XBRL GrossProfit | 0001375365-25-000004</t>
        </is>
      </c>
      <c r="F200" s="16" t="inlineStr">
        <is>
          <t>FILED</t>
        </is>
      </c>
    </row>
    <row r="201">
      <c r="A201" s="13" t="inlineStr">
        <is>
          <t>Gross profit</t>
        </is>
      </c>
      <c r="B201" s="18" t="inlineStr">
        <is>
          <t>FY2025</t>
        </is>
      </c>
      <c r="C201" s="29" t="n">
        <v>2429922</v>
      </c>
      <c r="D201" s="17" t="inlineStr">
        <is>
          <t>10-K</t>
        </is>
      </c>
      <c r="E201" s="17" t="inlineStr">
        <is>
          <t>XBRL GrossProfit | 0001375365-25-000027</t>
        </is>
      </c>
      <c r="F201" s="16" t="inlineStr">
        <is>
          <t>FILED</t>
        </is>
      </c>
    </row>
    <row r="202">
      <c r="A202" s="13" t="inlineStr">
        <is>
          <t>Gross profit</t>
        </is>
      </c>
      <c r="B202" s="18" t="inlineStr">
        <is>
          <t>Q/E 2024-09-30</t>
        </is>
      </c>
      <c r="C202" s="29" t="n">
        <v>775580</v>
      </c>
      <c r="D202" s="17" t="inlineStr">
        <is>
          <t>10-Q</t>
        </is>
      </c>
      <c r="E202" s="17" t="inlineStr">
        <is>
          <t>XBRL GrossProfit | 0001375365-25-000005</t>
        </is>
      </c>
      <c r="F202" s="16" t="inlineStr">
        <is>
          <t>FILED</t>
        </is>
      </c>
    </row>
    <row r="203">
      <c r="A203" s="13" t="inlineStr">
        <is>
          <t>Gross profit</t>
        </is>
      </c>
      <c r="B203" s="18" t="inlineStr">
        <is>
          <t>Q/E 2024-12-31</t>
        </is>
      </c>
      <c r="C203" s="29" t="n">
        <v>670022</v>
      </c>
      <c r="D203" s="17" t="inlineStr">
        <is>
          <t>10-Q</t>
        </is>
      </c>
      <c r="E203" s="17" t="inlineStr">
        <is>
          <t>XBRL GrossProfit | 0001375365-25-000006</t>
        </is>
      </c>
      <c r="F203" s="16" t="inlineStr">
        <is>
          <t>FILED</t>
        </is>
      </c>
    </row>
    <row r="204">
      <c r="A204" s="13" t="inlineStr">
        <is>
          <t>Gross profit</t>
        </is>
      </c>
      <c r="B204" s="18" t="inlineStr">
        <is>
          <t>Q/E 2025-03-31</t>
        </is>
      </c>
      <c r="C204" s="29" t="n">
        <v>440218</v>
      </c>
      <c r="D204" s="17" t="inlineStr">
        <is>
          <t>10-Q</t>
        </is>
      </c>
      <c r="E204" s="17" t="inlineStr">
        <is>
          <t>XBRL GrossProfit | 0001375365-25-000014</t>
        </is>
      </c>
      <c r="F204" s="16" t="inlineStr">
        <is>
          <t>FILED</t>
        </is>
      </c>
    </row>
    <row r="205">
      <c r="A205" s="13" t="inlineStr">
        <is>
          <t>Gross profit</t>
        </is>
      </c>
      <c r="B205" s="18" t="inlineStr">
        <is>
          <t>Q/E 2025-09-30</t>
        </is>
      </c>
      <c r="C205" s="29" t="n">
        <v>467373</v>
      </c>
      <c r="D205" s="17" t="inlineStr">
        <is>
          <t>10-Q</t>
        </is>
      </c>
      <c r="E205" s="17" t="inlineStr">
        <is>
          <t>XBRL GrossProfit | 0001375365-25-000030</t>
        </is>
      </c>
      <c r="F205" s="16" t="inlineStr">
        <is>
          <t>FILED</t>
        </is>
      </c>
    </row>
    <row r="206">
      <c r="A206" s="13" t="inlineStr">
        <is>
          <t>Gross profit</t>
        </is>
      </c>
      <c r="B206" s="18" t="inlineStr">
        <is>
          <t>Q/E 2025-12-31</t>
        </is>
      </c>
      <c r="C206" s="29" t="n">
        <v>798567</v>
      </c>
      <c r="D206" s="17" t="inlineStr">
        <is>
          <t>10-Q</t>
        </is>
      </c>
      <c r="E206" s="17" t="inlineStr">
        <is>
          <t>XBRL GrossProfit | 0001375365-26-000007</t>
        </is>
      </c>
      <c r="F206" s="16" t="inlineStr">
        <is>
          <t>FILED</t>
        </is>
      </c>
    </row>
    <row r="207">
      <c r="A207" s="13" t="inlineStr">
        <is>
          <t>Gross profit</t>
        </is>
      </c>
      <c r="B207" s="18" t="inlineStr">
        <is>
          <t>Q/E 2026-03-31</t>
        </is>
      </c>
      <c r="C207" s="29" t="n">
        <v>1018680</v>
      </c>
      <c r="D207" s="17" t="inlineStr">
        <is>
          <t>10-Q</t>
        </is>
      </c>
      <c r="E207" s="17" t="inlineStr">
        <is>
          <t>XBRL GrossProfit | 0001375365-26-000014</t>
        </is>
      </c>
      <c r="F207" s="16" t="inlineStr">
        <is>
          <t>FILED</t>
        </is>
      </c>
    </row>
    <row r="208">
      <c r="A208" s="13" t="inlineStr">
        <is>
          <t>Income tax expense</t>
        </is>
      </c>
      <c r="B208" s="18" t="inlineStr">
        <is>
          <t>FY2023</t>
        </is>
      </c>
      <c r="C208" s="29" t="n">
        <v>110666</v>
      </c>
      <c r="D208" s="17" t="inlineStr">
        <is>
          <t>10-K</t>
        </is>
      </c>
      <c r="E208" s="17" t="inlineStr">
        <is>
          <t>XBRL IncomeTaxExpenseBenefit | 0001375365-23-000036</t>
        </is>
      </c>
      <c r="F208" s="16" t="inlineStr">
        <is>
          <t>FILED</t>
        </is>
      </c>
    </row>
    <row r="209">
      <c r="A209" s="13" t="inlineStr">
        <is>
          <t>Income tax expense</t>
        </is>
      </c>
      <c r="B209" s="18" t="inlineStr">
        <is>
          <t>FY2024</t>
        </is>
      </c>
      <c r="C209" s="29" t="n">
        <v>63294</v>
      </c>
      <c r="D209" s="17" t="inlineStr">
        <is>
          <t>10-K</t>
        </is>
      </c>
      <c r="E209" s="17" t="inlineStr">
        <is>
          <t>XBRL IncomeTaxExpenseBenefit | 0001375365-25-000004</t>
        </is>
      </c>
      <c r="F209" s="16" t="inlineStr">
        <is>
          <t>FILED</t>
        </is>
      </c>
    </row>
    <row r="210">
      <c r="A210" s="13" t="inlineStr">
        <is>
          <t>Income tax expense</t>
        </is>
      </c>
      <c r="B210" s="18" t="inlineStr">
        <is>
          <t>FY2025</t>
        </is>
      </c>
      <c r="C210" s="29" t="n">
        <v>156851</v>
      </c>
      <c r="D210" s="17" t="inlineStr">
        <is>
          <t>10-K</t>
        </is>
      </c>
      <c r="E210" s="17" t="inlineStr">
        <is>
          <t>XBRL IncomeTaxExpenseBenefit | 0001375365-25-000027</t>
        </is>
      </c>
      <c r="F210" s="16" t="inlineStr">
        <is>
          <t>FILED</t>
        </is>
      </c>
    </row>
    <row r="211">
      <c r="A211" s="13" t="inlineStr">
        <is>
          <t>Income tax expense</t>
        </is>
      </c>
      <c r="B211" s="18" t="inlineStr">
        <is>
          <t>Q/E 2024-09-30</t>
        </is>
      </c>
      <c r="C211" s="29" t="n">
        <v>74732</v>
      </c>
      <c r="D211" s="17" t="inlineStr">
        <is>
          <t>10-Q</t>
        </is>
      </c>
      <c r="E211" s="17" t="inlineStr">
        <is>
          <t>XBRL IncomeTaxExpenseBenefit | 0001375365-25-000005</t>
        </is>
      </c>
      <c r="F211" s="16" t="inlineStr">
        <is>
          <t>FILED</t>
        </is>
      </c>
    </row>
    <row r="212">
      <c r="A212" s="13" t="inlineStr">
        <is>
          <t>Income tax expense</t>
        </is>
      </c>
      <c r="B212" s="18" t="inlineStr">
        <is>
          <t>Q/E 2024-12-31</t>
        </is>
      </c>
      <c r="C212" s="29" t="n">
        <v>56969</v>
      </c>
      <c r="D212" s="17" t="inlineStr">
        <is>
          <t>10-Q</t>
        </is>
      </c>
      <c r="E212" s="17" t="inlineStr">
        <is>
          <t>XBRL IncomeTaxExpenseBenefit | 0001375365-25-000006</t>
        </is>
      </c>
      <c r="F212" s="16" t="inlineStr">
        <is>
          <t>FILED</t>
        </is>
      </c>
    </row>
    <row r="213">
      <c r="A213" s="13" t="inlineStr">
        <is>
          <t>Income tax expense</t>
        </is>
      </c>
      <c r="B213" s="18" t="inlineStr">
        <is>
          <t>Q/E 2025-03-31</t>
        </is>
      </c>
      <c r="C213" s="29" t="n">
        <v>5843</v>
      </c>
      <c r="D213" s="17" t="inlineStr">
        <is>
          <t>10-Q</t>
        </is>
      </c>
      <c r="E213" s="17" t="inlineStr">
        <is>
          <t>XBRL IncomeTaxExpenseBenefit | 0001375365-25-000014</t>
        </is>
      </c>
      <c r="F213" s="16" t="inlineStr">
        <is>
          <t>FILED</t>
        </is>
      </c>
    </row>
    <row r="214">
      <c r="A214" s="13" t="inlineStr">
        <is>
          <t>Income tax expense</t>
        </is>
      </c>
      <c r="B214" s="18" t="inlineStr">
        <is>
          <t>Q/E 2025-09-30</t>
        </is>
      </c>
      <c r="C214" s="29" t="n">
        <v>40161</v>
      </c>
      <c r="D214" s="17" t="inlineStr">
        <is>
          <t>10-Q</t>
        </is>
      </c>
      <c r="E214" s="17" t="inlineStr">
        <is>
          <t>XBRL IncomeTaxExpenseBenefit | 0001375365-25-000030</t>
        </is>
      </c>
      <c r="F214" s="16" t="inlineStr">
        <is>
          <t>FILED</t>
        </is>
      </c>
    </row>
    <row r="215">
      <c r="A215" s="13" t="inlineStr">
        <is>
          <t>Income tax expense</t>
        </is>
      </c>
      <c r="B215" s="18" t="inlineStr">
        <is>
          <t>Q/E 2025-12-31</t>
        </is>
      </c>
      <c r="C215" s="29" t="n">
        <v>99151</v>
      </c>
      <c r="D215" s="17" t="inlineStr">
        <is>
          <t>10-Q</t>
        </is>
      </c>
      <c r="E215" s="17" t="inlineStr">
        <is>
          <t>XBRL IncomeTaxExpenseBenefit | 0001375365-26-000007</t>
        </is>
      </c>
      <c r="F215" s="16" t="inlineStr">
        <is>
          <t>FILED</t>
        </is>
      </c>
    </row>
    <row r="216">
      <c r="A216" s="13" t="inlineStr">
        <is>
          <t>Income tax expense</t>
        </is>
      </c>
      <c r="B216" s="18" t="inlineStr">
        <is>
          <t>Q/E 2026-03-31</t>
        </is>
      </c>
      <c r="C216" s="29" t="n">
        <v>126887</v>
      </c>
      <c r="D216" s="17" t="inlineStr">
        <is>
          <t>10-Q</t>
        </is>
      </c>
      <c r="E216" s="17" t="inlineStr">
        <is>
          <t>XBRL IncomeTaxExpenseBenefit | 0001375365-26-000014</t>
        </is>
      </c>
      <c r="F216" s="16" t="inlineStr">
        <is>
          <t>FILED</t>
        </is>
      </c>
    </row>
    <row r="217">
      <c r="A217" s="13" t="inlineStr">
        <is>
          <t>Interest expense</t>
        </is>
      </c>
      <c r="B217" s="18" t="inlineStr">
        <is>
          <t>FY2023</t>
        </is>
      </c>
      <c r="C217" s="29" t="n">
        <v>10491</v>
      </c>
      <c r="D217" s="17" t="inlineStr">
        <is>
          <t>10-K</t>
        </is>
      </c>
      <c r="E217" s="17" t="inlineStr">
        <is>
          <t>XBRL InterestExpense | 0001375365-23-000036</t>
        </is>
      </c>
      <c r="F217" s="16" t="inlineStr">
        <is>
          <t>FILED</t>
        </is>
      </c>
    </row>
    <row r="218">
      <c r="A218" s="13" t="inlineStr">
        <is>
          <t>Interest expense (nonoperating)</t>
        </is>
      </c>
      <c r="B218" s="18" t="inlineStr">
        <is>
          <t>FY2023</t>
        </is>
      </c>
      <c r="C218" s="29" t="n">
        <v>10491</v>
      </c>
      <c r="D218" s="17" t="inlineStr">
        <is>
          <t>10-K</t>
        </is>
      </c>
      <c r="E218" s="17" t="inlineStr">
        <is>
          <t>XBRL InterestExpenseNonoperating | 0001375365-25-000004</t>
        </is>
      </c>
      <c r="F218" s="16" t="inlineStr">
        <is>
          <t>FILED</t>
        </is>
      </c>
    </row>
    <row r="219">
      <c r="A219" s="13" t="inlineStr">
        <is>
          <t>Interest expense (nonoperating)</t>
        </is>
      </c>
      <c r="B219" s="18" t="inlineStr">
        <is>
          <t>FY2024</t>
        </is>
      </c>
      <c r="C219" s="29" t="n">
        <v>19352</v>
      </c>
      <c r="D219" s="17" t="inlineStr">
        <is>
          <t>10-K</t>
        </is>
      </c>
      <c r="E219" s="17" t="inlineStr">
        <is>
          <t>XBRL InterestExpenseNonoperating | 0001375365-25-000004</t>
        </is>
      </c>
      <c r="F219" s="16" t="inlineStr">
        <is>
          <t>FILED</t>
        </is>
      </c>
    </row>
    <row r="220">
      <c r="A220" s="13" t="inlineStr">
        <is>
          <t>Interest expense (nonoperating)</t>
        </is>
      </c>
      <c r="B220" s="18" t="inlineStr">
        <is>
          <t>FY2025</t>
        </is>
      </c>
      <c r="C220" s="29" t="n">
        <v>59573</v>
      </c>
      <c r="D220" s="17" t="inlineStr">
        <is>
          <t>10-K</t>
        </is>
      </c>
      <c r="E220" s="17" t="inlineStr">
        <is>
          <t>XBRL InterestExpenseNonoperating | 0001375365-25-000027</t>
        </is>
      </c>
      <c r="F220" s="16" t="inlineStr">
        <is>
          <t>FILED</t>
        </is>
      </c>
    </row>
    <row r="221">
      <c r="A221" s="13" t="inlineStr">
        <is>
          <t>Interest expense (nonoperating)</t>
        </is>
      </c>
      <c r="B221" s="18" t="inlineStr">
        <is>
          <t>Q/E 2024-09-30</t>
        </is>
      </c>
      <c r="C221" s="29" t="n">
        <v>17354</v>
      </c>
      <c r="D221" s="17" t="inlineStr">
        <is>
          <t>10-Q</t>
        </is>
      </c>
      <c r="E221" s="17" t="inlineStr">
        <is>
          <t>XBRL InterestExpenseNonoperating | 0001375365-25-000005</t>
        </is>
      </c>
      <c r="F221" s="16" t="inlineStr">
        <is>
          <t>FILED</t>
        </is>
      </c>
    </row>
    <row r="222">
      <c r="A222" s="13" t="inlineStr">
        <is>
          <t>Interest expense (nonoperating)</t>
        </is>
      </c>
      <c r="B222" s="18" t="inlineStr">
        <is>
          <t>Q/E 2024-12-31</t>
        </is>
      </c>
      <c r="C222" s="29" t="n">
        <v>6535</v>
      </c>
      <c r="D222" s="17" t="inlineStr">
        <is>
          <t>10-Q</t>
        </is>
      </c>
      <c r="E222" s="17" t="inlineStr">
        <is>
          <t>XBRL InterestExpenseNonoperating | 0001375365-25-000006</t>
        </is>
      </c>
      <c r="F222" s="16" t="inlineStr">
        <is>
          <t>FILED</t>
        </is>
      </c>
    </row>
    <row r="223">
      <c r="A223" s="13" t="inlineStr">
        <is>
          <t>Interest expense (nonoperating)</t>
        </is>
      </c>
      <c r="B223" s="18" t="inlineStr">
        <is>
          <t>Q/E 2025-03-31</t>
        </is>
      </c>
      <c r="C223" s="29" t="n">
        <v>13402</v>
      </c>
      <c r="D223" s="17" t="inlineStr">
        <is>
          <t>10-Q</t>
        </is>
      </c>
      <c r="E223" s="17" t="inlineStr">
        <is>
          <t>XBRL InterestExpenseNonoperating | 0001375365-25-000014</t>
        </is>
      </c>
      <c r="F223" s="16" t="inlineStr">
        <is>
          <t>FILED</t>
        </is>
      </c>
    </row>
    <row r="224">
      <c r="A224" s="13" t="inlineStr">
        <is>
          <t>Interest expense (nonoperating)</t>
        </is>
      </c>
      <c r="B224" s="18" t="inlineStr">
        <is>
          <t>Q/E 2025-09-30</t>
        </is>
      </c>
      <c r="C224" s="29" t="n">
        <v>24931</v>
      </c>
      <c r="D224" s="17" t="inlineStr">
        <is>
          <t>10-Q</t>
        </is>
      </c>
      <c r="E224" s="17" t="inlineStr">
        <is>
          <t>XBRL InterestExpenseNonoperating | 0001375365-25-000030</t>
        </is>
      </c>
      <c r="F224" s="16" t="inlineStr">
        <is>
          <t>FILED</t>
        </is>
      </c>
    </row>
    <row r="225">
      <c r="A225" s="13" t="inlineStr">
        <is>
          <t>Interest expense (nonoperating)</t>
        </is>
      </c>
      <c r="B225" s="18" t="inlineStr">
        <is>
          <t>Q/E 2025-12-31</t>
        </is>
      </c>
      <c r="C225" s="29" t="n">
        <v>25358</v>
      </c>
      <c r="D225" s="17" t="inlineStr">
        <is>
          <t>10-Q</t>
        </is>
      </c>
      <c r="E225" s="17" t="inlineStr">
        <is>
          <t>XBRL InterestExpenseNonoperating | 0001375365-26-000007</t>
        </is>
      </c>
      <c r="F225" s="16" t="inlineStr">
        <is>
          <t>FILED</t>
        </is>
      </c>
    </row>
    <row r="226">
      <c r="A226" s="13" t="inlineStr">
        <is>
          <t>Interest expense (nonoperating)</t>
        </is>
      </c>
      <c r="B226" s="18" t="inlineStr">
        <is>
          <t>Q/E 2026-03-31</t>
        </is>
      </c>
      <c r="C226" s="29" t="n">
        <v>64483</v>
      </c>
      <c r="D226" s="17" t="inlineStr">
        <is>
          <t>10-Q</t>
        </is>
      </c>
      <c r="E226" s="17" t="inlineStr">
        <is>
          <t>XBRL InterestExpenseNonoperating | 0001375365-26-000014</t>
        </is>
      </c>
      <c r="F226" s="16" t="inlineStr">
        <is>
          <t>FILED</t>
        </is>
      </c>
    </row>
    <row r="227">
      <c r="A227" s="13" t="inlineStr">
        <is>
          <t>Interest income</t>
        </is>
      </c>
      <c r="B227" s="18" t="inlineStr">
        <is>
          <t>Q/E 2024-12-31</t>
        </is>
      </c>
      <c r="C227" s="29" t="n">
        <v>8776</v>
      </c>
      <c r="D227" s="17" t="inlineStr">
        <is>
          <t>10-Q</t>
        </is>
      </c>
      <c r="E227" s="17" t="inlineStr">
        <is>
          <t>XBRL InvestmentIncomeInterest | 0001375365-26-000007</t>
        </is>
      </c>
      <c r="F227" s="16" t="inlineStr">
        <is>
          <t>FILED</t>
        </is>
      </c>
    </row>
    <row r="228">
      <c r="A228" s="13" t="inlineStr">
        <is>
          <t>Interest income</t>
        </is>
      </c>
      <c r="B228" s="18" t="inlineStr">
        <is>
          <t>Q/E 2025-03-31</t>
        </is>
      </c>
      <c r="C228" s="29" t="n">
        <v>14654</v>
      </c>
      <c r="D228" s="17" t="inlineStr">
        <is>
          <t>10-Q</t>
        </is>
      </c>
      <c r="E228" s="17" t="inlineStr">
        <is>
          <t>XBRL InvestmentIncomeInterest | 0001375365-26-000014</t>
        </is>
      </c>
      <c r="F228" s="16" t="inlineStr">
        <is>
          <t>FILED</t>
        </is>
      </c>
    </row>
    <row r="229">
      <c r="A229" s="13" t="inlineStr">
        <is>
          <t>Interest income</t>
        </is>
      </c>
      <c r="B229" s="18" t="inlineStr">
        <is>
          <t>Q/E 2025-12-31</t>
        </is>
      </c>
      <c r="C229" s="29" t="n">
        <v>51042</v>
      </c>
      <c r="D229" s="17" t="inlineStr">
        <is>
          <t>10-Q</t>
        </is>
      </c>
      <c r="E229" s="17" t="inlineStr">
        <is>
          <t>XBRL InvestmentIncomeInterest | 0001375365-26-000007</t>
        </is>
      </c>
      <c r="F229" s="16" t="inlineStr">
        <is>
          <t>FILED</t>
        </is>
      </c>
    </row>
    <row r="230">
      <c r="A230" s="13" t="inlineStr">
        <is>
          <t>Interest income</t>
        </is>
      </c>
      <c r="B230" s="18" t="inlineStr">
        <is>
          <t>Q/E 2026-03-31</t>
        </is>
      </c>
      <c r="C230" s="29" t="n">
        <v>45437</v>
      </c>
      <c r="D230" s="17" t="inlineStr">
        <is>
          <t>10-Q</t>
        </is>
      </c>
      <c r="E230" s="17" t="inlineStr">
        <is>
          <t>XBRL InvestmentIncomeInterest | 0001375365-26-000014</t>
        </is>
      </c>
      <c r="F230" s="16" t="inlineStr">
        <is>
          <t>FILED</t>
        </is>
      </c>
    </row>
    <row r="231">
      <c r="A231" s="13" t="inlineStr">
        <is>
          <t>Net income</t>
        </is>
      </c>
      <c r="B231" s="18" t="inlineStr">
        <is>
          <t>FY2023</t>
        </is>
      </c>
      <c r="C231" s="29" t="n">
        <v>639998</v>
      </c>
      <c r="D231" s="17" t="inlineStr">
        <is>
          <t>10-K</t>
        </is>
      </c>
      <c r="E231" s="17" t="inlineStr">
        <is>
          <t>XBRL NetIncomeLoss | 0001375365-23-000036</t>
        </is>
      </c>
      <c r="F231" s="16" t="inlineStr">
        <is>
          <t>FILED</t>
        </is>
      </c>
    </row>
    <row r="232">
      <c r="A232" s="13" t="inlineStr">
        <is>
          <t>Net income</t>
        </is>
      </c>
      <c r="B232" s="18" t="inlineStr">
        <is>
          <t>FY2024</t>
        </is>
      </c>
      <c r="C232" s="29" t="n">
        <v>1152666</v>
      </c>
      <c r="D232" s="17" t="inlineStr">
        <is>
          <t>10-K</t>
        </is>
      </c>
      <c r="E232" s="17" t="inlineStr">
        <is>
          <t>XBRL NetIncomeLoss | 0001375365-25-000004</t>
        </is>
      </c>
      <c r="F232" s="16" t="inlineStr">
        <is>
          <t>FILED</t>
        </is>
      </c>
    </row>
    <row r="233">
      <c r="A233" s="13" t="inlineStr">
        <is>
          <t>Net income</t>
        </is>
      </c>
      <c r="B233" s="18" t="inlineStr">
        <is>
          <t>FY2025</t>
        </is>
      </c>
      <c r="C233" s="29" t="n">
        <v>1048854</v>
      </c>
      <c r="D233" s="17" t="inlineStr">
        <is>
          <t>10-K</t>
        </is>
      </c>
      <c r="E233" s="17" t="inlineStr">
        <is>
          <t>XBRL NetIncomeLoss | 0001375365-25-000027</t>
        </is>
      </c>
      <c r="F233" s="16" t="inlineStr">
        <is>
          <t>FILED</t>
        </is>
      </c>
    </row>
    <row r="234">
      <c r="A234" s="13" t="inlineStr">
        <is>
          <t>Net income</t>
        </is>
      </c>
      <c r="B234" s="18" t="inlineStr">
        <is>
          <t>Q/E 2024-09-30</t>
        </is>
      </c>
      <c r="C234" s="29" t="n">
        <v>424327</v>
      </c>
      <c r="D234" s="17" t="inlineStr">
        <is>
          <t>10-Q</t>
        </is>
      </c>
      <c r="E234" s="17" t="inlineStr">
        <is>
          <t>XBRL NetIncomeLoss | 0001375365-25-000005</t>
        </is>
      </c>
      <c r="F234" s="16" t="inlineStr">
        <is>
          <t>FILED</t>
        </is>
      </c>
    </row>
    <row r="235">
      <c r="A235" s="13" t="inlineStr">
        <is>
          <t>Net income</t>
        </is>
      </c>
      <c r="B235" s="18" t="inlineStr">
        <is>
          <t>Q/E 2024-12-31</t>
        </is>
      </c>
      <c r="C235" s="29" t="n">
        <v>320596</v>
      </c>
      <c r="D235" s="17" t="inlineStr">
        <is>
          <t>10-Q</t>
        </is>
      </c>
      <c r="E235" s="17" t="inlineStr">
        <is>
          <t>XBRL NetIncomeLoss | 0001375365-25-000006</t>
        </is>
      </c>
      <c r="F235" s="16" t="inlineStr">
        <is>
          <t>FILED</t>
        </is>
      </c>
    </row>
    <row r="236">
      <c r="A236" s="13" t="inlineStr">
        <is>
          <t>Net income</t>
        </is>
      </c>
      <c r="B236" s="18" t="inlineStr">
        <is>
          <t>Q/E 2025-03-31</t>
        </is>
      </c>
      <c r="C236" s="29" t="n">
        <v>108777</v>
      </c>
      <c r="D236" s="17" t="inlineStr">
        <is>
          <t>10-Q</t>
        </is>
      </c>
      <c r="E236" s="17" t="inlineStr">
        <is>
          <t>XBRL NetIncomeLoss | 0001375365-25-000014</t>
        </is>
      </c>
      <c r="F236" s="16" t="inlineStr">
        <is>
          <t>FILED</t>
        </is>
      </c>
    </row>
    <row r="237">
      <c r="A237" s="13" t="inlineStr">
        <is>
          <t>Net income</t>
        </is>
      </c>
      <c r="B237" s="18" t="inlineStr">
        <is>
          <t>Q/E 2025-09-30</t>
        </is>
      </c>
      <c r="C237" s="29" t="n">
        <v>168285</v>
      </c>
      <c r="D237" s="17" t="inlineStr">
        <is>
          <t>10-Q</t>
        </is>
      </c>
      <c r="E237" s="17" t="inlineStr">
        <is>
          <t>XBRL NetIncomeLoss | 0001375365-25-000030</t>
        </is>
      </c>
      <c r="F237" s="16" t="inlineStr">
        <is>
          <t>FILED</t>
        </is>
      </c>
    </row>
    <row r="238">
      <c r="A238" s="13" t="inlineStr">
        <is>
          <t>Net income</t>
        </is>
      </c>
      <c r="B238" s="18" t="inlineStr">
        <is>
          <t>Q/E 2025-12-31</t>
        </is>
      </c>
      <c r="C238" s="29" t="n">
        <v>400564</v>
      </c>
      <c r="D238" s="17" t="inlineStr">
        <is>
          <t>10-Q</t>
        </is>
      </c>
      <c r="E238" s="17" t="inlineStr">
        <is>
          <t>XBRL NetIncomeLoss | 0001375365-26-000007</t>
        </is>
      </c>
      <c r="F238" s="16" t="inlineStr">
        <is>
          <t>FILED</t>
        </is>
      </c>
    </row>
    <row r="239">
      <c r="A239" s="13" t="inlineStr">
        <is>
          <t>Net income</t>
        </is>
      </c>
      <c r="B239" s="18" t="inlineStr">
        <is>
          <t>Q/E 2026-03-31</t>
        </is>
      </c>
      <c r="C239" s="29" t="n">
        <v>483387</v>
      </c>
      <c r="D239" s="17" t="inlineStr">
        <is>
          <t>10-Q</t>
        </is>
      </c>
      <c r="E239" s="17" t="inlineStr">
        <is>
          <t>XBRL NetIncomeLoss | 0001375365-26-000014</t>
        </is>
      </c>
      <c r="F239" s="16" t="inlineStr">
        <is>
          <t>FILED</t>
        </is>
      </c>
    </row>
    <row r="240">
      <c r="A240" s="13" t="inlineStr">
        <is>
          <t>Operating income</t>
        </is>
      </c>
      <c r="B240" s="18" t="inlineStr">
        <is>
          <t>FY2023</t>
        </is>
      </c>
      <c r="C240" s="29" t="n">
        <v>761142</v>
      </c>
      <c r="D240" s="17" t="inlineStr">
        <is>
          <t>10-K</t>
        </is>
      </c>
      <c r="E240" s="17" t="inlineStr">
        <is>
          <t>XBRL OperatingIncomeLoss | 0001375365-23-000036</t>
        </is>
      </c>
      <c r="F240" s="16" t="inlineStr">
        <is>
          <t>FILED</t>
        </is>
      </c>
    </row>
    <row r="241">
      <c r="A241" s="13" t="inlineStr">
        <is>
          <t>Operating income</t>
        </is>
      </c>
      <c r="B241" s="18" t="inlineStr">
        <is>
          <t>FY2024</t>
        </is>
      </c>
      <c r="C241" s="29" t="n">
        <v>1210774</v>
      </c>
      <c r="D241" s="17" t="inlineStr">
        <is>
          <t>10-K</t>
        </is>
      </c>
      <c r="E241" s="17" t="inlineStr">
        <is>
          <t>XBRL OperatingIncomeLoss | 0001375365-25-000004</t>
        </is>
      </c>
      <c r="F241" s="16" t="inlineStr">
        <is>
          <t>FILED</t>
        </is>
      </c>
    </row>
    <row r="242">
      <c r="A242" s="13" t="inlineStr">
        <is>
          <t>Operating income</t>
        </is>
      </c>
      <c r="B242" s="18" t="inlineStr">
        <is>
          <t>FY2025</t>
        </is>
      </c>
      <c r="C242" s="29" t="n">
        <v>1252994</v>
      </c>
      <c r="D242" s="17" t="inlineStr">
        <is>
          <t>10-K</t>
        </is>
      </c>
      <c r="E242" s="17" t="inlineStr">
        <is>
          <t>XBRL OperatingIncomeLoss | 0001375365-25-000027</t>
        </is>
      </c>
      <c r="F242" s="16" t="inlineStr">
        <is>
          <t>FILED</t>
        </is>
      </c>
    </row>
    <row r="243">
      <c r="A243" s="13" t="inlineStr">
        <is>
          <t>Operating income</t>
        </is>
      </c>
      <c r="B243" s="18" t="inlineStr">
        <is>
          <t>Q/E 2024-09-30</t>
        </is>
      </c>
      <c r="C243" s="29" t="n">
        <v>509199</v>
      </c>
      <c r="D243" s="17" t="inlineStr">
        <is>
          <t>10-Q</t>
        </is>
      </c>
      <c r="E243" s="17" t="inlineStr">
        <is>
          <t>XBRL OperatingIncomeLoss | 0001375365-25-000005</t>
        </is>
      </c>
      <c r="F243" s="16" t="inlineStr">
        <is>
          <t>FILED</t>
        </is>
      </c>
    </row>
    <row r="244">
      <c r="A244" s="13" t="inlineStr">
        <is>
          <t>Operating income</t>
        </is>
      </c>
      <c r="B244" s="18" t="inlineStr">
        <is>
          <t>Q/E 2024-12-31</t>
        </is>
      </c>
      <c r="C244" s="29" t="n">
        <v>368624</v>
      </c>
      <c r="D244" s="17" t="inlineStr">
        <is>
          <t>10-Q</t>
        </is>
      </c>
      <c r="E244" s="17" t="inlineStr">
        <is>
          <t>XBRL OperatingIncomeLoss | 0001375365-25-000006</t>
        </is>
      </c>
      <c r="F244" s="16" t="inlineStr">
        <is>
          <t>FILED</t>
        </is>
      </c>
    </row>
    <row r="245">
      <c r="A245" s="13" t="inlineStr">
        <is>
          <t>Operating income</t>
        </is>
      </c>
      <c r="B245" s="18" t="inlineStr">
        <is>
          <t>Q/E 2025-03-31</t>
        </is>
      </c>
      <c r="C245" s="29" t="n">
        <v>146780</v>
      </c>
      <c r="D245" s="17" t="inlineStr">
        <is>
          <t>10-Q</t>
        </is>
      </c>
      <c r="E245" s="17" t="inlineStr">
        <is>
          <t>XBRL OperatingIncomeLoss | 0001375365-25-000014</t>
        </is>
      </c>
      <c r="F245" s="16" t="inlineStr">
        <is>
          <t>FILED</t>
        </is>
      </c>
    </row>
    <row r="246">
      <c r="A246" s="13" t="inlineStr">
        <is>
          <t>Operating income</t>
        </is>
      </c>
      <c r="B246" s="18" t="inlineStr">
        <is>
          <t>Q/E 2025-09-30</t>
        </is>
      </c>
      <c r="C246" s="29" t="n">
        <v>182256</v>
      </c>
      <c r="D246" s="17" t="inlineStr">
        <is>
          <t>10-Q</t>
        </is>
      </c>
      <c r="E246" s="17" t="inlineStr">
        <is>
          <t>XBRL OperatingIncomeLoss | 0001375365-25-000030</t>
        </is>
      </c>
      <c r="F246" s="16" t="inlineStr">
        <is>
          <t>FILED</t>
        </is>
      </c>
    </row>
    <row r="247">
      <c r="A247" s="13" t="inlineStr">
        <is>
          <t>Operating income</t>
        </is>
      </c>
      <c r="B247" s="18" t="inlineStr">
        <is>
          <t>Q/E 2025-12-31</t>
        </is>
      </c>
      <c r="C247" s="29" t="n">
        <v>474298</v>
      </c>
      <c r="D247" s="17" t="inlineStr">
        <is>
          <t>10-Q</t>
        </is>
      </c>
      <c r="E247" s="17" t="inlineStr">
        <is>
          <t>XBRL OperatingIncomeLoss | 0001375365-26-000007</t>
        </is>
      </c>
      <c r="F247" s="16" t="inlineStr">
        <is>
          <t>FILED</t>
        </is>
      </c>
    </row>
    <row r="248">
      <c r="A248" s="13" t="inlineStr">
        <is>
          <t>Operating income</t>
        </is>
      </c>
      <c r="B248" s="18" t="inlineStr">
        <is>
          <t>Q/E 2026-03-31</t>
        </is>
      </c>
      <c r="C248" s="29" t="n">
        <v>625868</v>
      </c>
      <c r="D248" s="17" t="inlineStr">
        <is>
          <t>10-Q</t>
        </is>
      </c>
      <c r="E248" s="17" t="inlineStr">
        <is>
          <t>XBRL OperatingIncomeLoss | 0001375365-26-000014</t>
        </is>
      </c>
      <c r="F248" s="16" t="inlineStr">
        <is>
          <t>FILED</t>
        </is>
      </c>
    </row>
    <row r="249">
      <c r="A249" s="13" t="inlineStr">
        <is>
          <t>Other non-operating income/expense</t>
        </is>
      </c>
      <c r="B249" s="18" t="inlineStr">
        <is>
          <t>Q/E 2024-12-31</t>
        </is>
      </c>
      <c r="C249" s="29" t="n">
        <v>4183</v>
      </c>
      <c r="D249" s="17" t="inlineStr">
        <is>
          <t>10-Q</t>
        </is>
      </c>
      <c r="E249" s="17" t="inlineStr">
        <is>
          <t>XBRL OtherNonoperatingIncomeExpense | 0001375365-26-000007</t>
        </is>
      </c>
      <c r="F249" s="16" t="inlineStr">
        <is>
          <t>FILED</t>
        </is>
      </c>
    </row>
    <row r="250">
      <c r="A250" s="13" t="inlineStr">
        <is>
          <t>Other non-operating income/expense</t>
        </is>
      </c>
      <c r="B250" s="18" t="inlineStr">
        <is>
          <t>Q/E 2025-03-31</t>
        </is>
      </c>
      <c r="C250" s="29" t="n">
        <v>-32967</v>
      </c>
      <c r="D250" s="17" t="inlineStr">
        <is>
          <t>10-Q</t>
        </is>
      </c>
      <c r="E250" s="17" t="inlineStr">
        <is>
          <t>XBRL OtherNonoperatingIncomeExpense | 0001375365-26-000014</t>
        </is>
      </c>
      <c r="F250" s="16" t="inlineStr">
        <is>
          <t>FILED</t>
        </is>
      </c>
    </row>
    <row r="251">
      <c r="A251" s="13" t="inlineStr">
        <is>
          <t>Other non-operating income/expense</t>
        </is>
      </c>
      <c r="B251" s="18" t="inlineStr">
        <is>
          <t>Q/E 2025-12-31</t>
        </is>
      </c>
      <c r="C251" s="29" t="n">
        <v>225</v>
      </c>
      <c r="D251" s="17" t="inlineStr">
        <is>
          <t>10-Q</t>
        </is>
      </c>
      <c r="E251" s="17" t="inlineStr">
        <is>
          <t>XBRL OtherNonoperatingIncomeExpense | 0001375365-26-000007</t>
        </is>
      </c>
      <c r="F251" s="16" t="inlineStr">
        <is>
          <t>FILED</t>
        </is>
      </c>
    </row>
    <row r="252">
      <c r="A252" s="13" t="inlineStr">
        <is>
          <t>Other non-operating income/expense</t>
        </is>
      </c>
      <c r="B252" s="18" t="inlineStr">
        <is>
          <t>Q/E 2026-03-31</t>
        </is>
      </c>
      <c r="C252" s="29" t="n">
        <v>4147</v>
      </c>
      <c r="D252" s="17" t="inlineStr">
        <is>
          <t>10-Q</t>
        </is>
      </c>
      <c r="E252" s="17" t="inlineStr">
        <is>
          <t>XBRL OtherNonoperatingIncomeExpense | 0001375365-26-000014</t>
        </is>
      </c>
      <c r="F252" s="16" t="inlineStr">
        <is>
          <t>FILED</t>
        </is>
      </c>
    </row>
    <row r="253">
      <c r="A253" s="13" t="inlineStr">
        <is>
          <t>Pre-tax income</t>
        </is>
      </c>
      <c r="B253" s="18" t="inlineStr">
        <is>
          <t>FY2023</t>
        </is>
      </c>
      <c r="C253" s="29" t="n">
        <v>754297</v>
      </c>
      <c r="D253" s="17" t="inlineStr">
        <is>
          <t>10-K</t>
        </is>
      </c>
      <c r="E253" s="17" t="inlineStr">
        <is>
          <t>XBRL IncomeLossFromContinuingOperationsBeforeIncomeTaxesMinorityInterestAndIncomeLossFromEquityMethodInvestments | 0001375365-23-000036</t>
        </is>
      </c>
      <c r="F253" s="16" t="inlineStr">
        <is>
          <t>FILED</t>
        </is>
      </c>
    </row>
    <row r="254">
      <c r="A254" s="13" t="inlineStr">
        <is>
          <t>Pre-tax income</t>
        </is>
      </c>
      <c r="B254" s="18" t="inlineStr">
        <is>
          <t>FY2024</t>
        </is>
      </c>
      <c r="C254" s="29" t="n">
        <v>1214139</v>
      </c>
      <c r="D254" s="17" t="inlineStr">
        <is>
          <t>10-K</t>
        </is>
      </c>
      <c r="E254" s="17" t="inlineStr">
        <is>
          <t>XBRL IncomeLossFromContinuingOperationsBeforeIncomeTaxesMinorityInterestAndIncomeLossFromEquityMethodInvestments | 0001375365-25-000004</t>
        </is>
      </c>
      <c r="F254" s="16" t="inlineStr">
        <is>
          <t>FILED</t>
        </is>
      </c>
    </row>
    <row r="255">
      <c r="A255" s="13" t="inlineStr">
        <is>
          <t>Pre-tax income</t>
        </is>
      </c>
      <c r="B255" s="18" t="inlineStr">
        <is>
          <t>FY2025</t>
        </is>
      </c>
      <c r="C255" s="29" t="n">
        <v>1211916</v>
      </c>
      <c r="D255" s="17" t="inlineStr">
        <is>
          <t>10-K</t>
        </is>
      </c>
      <c r="E255" s="17" t="inlineStr">
        <is>
          <t>XBRL IncomeLossFromContinuingOperationsBeforeIncomeTaxesMinorityInterestAndIncomeLossFromEquityMethodInvestments | 0001375365-25-000027</t>
        </is>
      </c>
      <c r="F255" s="16" t="inlineStr">
        <is>
          <t>FILED</t>
        </is>
      </c>
    </row>
    <row r="256">
      <c r="A256" s="13" t="inlineStr">
        <is>
          <t>Pre-tax income</t>
        </is>
      </c>
      <c r="B256" s="18" t="inlineStr">
        <is>
          <t>Q/E 2024-09-30</t>
        </is>
      </c>
      <c r="C256" s="29" t="n">
        <v>499078</v>
      </c>
      <c r="D256" s="17" t="inlineStr">
        <is>
          <t>10-Q</t>
        </is>
      </c>
      <c r="E256" s="17" t="inlineStr">
        <is>
          <t>XBRL IncomeLossFromContinuingOperationsBeforeIncomeTaxesMinorityInterestAndIncomeLossFromEquityMethodInvestments | 0001375365-25-000005</t>
        </is>
      </c>
      <c r="F256" s="16" t="inlineStr">
        <is>
          <t>FILED</t>
        </is>
      </c>
    </row>
    <row r="257">
      <c r="A257" s="13" t="inlineStr">
        <is>
          <t>Pre-tax income</t>
        </is>
      </c>
      <c r="B257" s="18" t="inlineStr">
        <is>
          <t>Q/E 2024-12-31</t>
        </is>
      </c>
      <c r="C257" s="29" t="n">
        <v>375048</v>
      </c>
      <c r="D257" s="17" t="inlineStr">
        <is>
          <t>10-Q</t>
        </is>
      </c>
      <c r="E257" s="17" t="inlineStr">
        <is>
          <t>XBRL IncomeLossFromContinuingOperationsBeforeIncomeTaxesMinorityInterestAndIncomeLossFromEquityMethodInvestments | 0001375365-25-000006</t>
        </is>
      </c>
      <c r="F257" s="16" t="inlineStr">
        <is>
          <t>FILED</t>
        </is>
      </c>
    </row>
    <row r="258">
      <c r="A258" s="13" t="inlineStr">
        <is>
          <t>Pre-tax income</t>
        </is>
      </c>
      <c r="B258" s="18" t="inlineStr">
        <is>
          <t>Q/E 2025-03-31</t>
        </is>
      </c>
      <c r="C258" s="29" t="n">
        <v>115065</v>
      </c>
      <c r="D258" s="17" t="inlineStr">
        <is>
          <t>10-Q</t>
        </is>
      </c>
      <c r="E258" s="17" t="inlineStr">
        <is>
          <t>XBRL IncomeLossFromContinuingOperationsBeforeIncomeTaxesMinorityInterestAndIncomeLossFromEquityMethodInvestments | 0001375365-25-000014</t>
        </is>
      </c>
      <c r="F258" s="16" t="inlineStr">
        <is>
          <t>FILED</t>
        </is>
      </c>
    </row>
    <row r="259">
      <c r="A259" s="13" t="inlineStr">
        <is>
          <t>Pre-tax income</t>
        </is>
      </c>
      <c r="B259" s="18" t="inlineStr">
        <is>
          <t>Q/E 2025-09-30</t>
        </is>
      </c>
      <c r="C259" s="29" t="n">
        <v>208552</v>
      </c>
      <c r="D259" s="17" t="inlineStr">
        <is>
          <t>10-Q</t>
        </is>
      </c>
      <c r="E259" s="17" t="inlineStr">
        <is>
          <t>XBRL IncomeLossFromContinuingOperationsBeforeIncomeTaxesMinorityInterestAndIncomeLossFromEquityMethodInvestments | 0001375365-25-000030</t>
        </is>
      </c>
      <c r="F259" s="16" t="inlineStr">
        <is>
          <t>FILED</t>
        </is>
      </c>
    </row>
    <row r="260">
      <c r="A260" s="13" t="inlineStr">
        <is>
          <t>Pre-tax income</t>
        </is>
      </c>
      <c r="B260" s="18" t="inlineStr">
        <is>
          <t>Q/E 2025-12-31</t>
        </is>
      </c>
      <c r="C260" s="29" t="n">
        <v>500207</v>
      </c>
      <c r="D260" s="17" t="inlineStr">
        <is>
          <t>10-Q</t>
        </is>
      </c>
      <c r="E260" s="17" t="inlineStr">
        <is>
          <t>XBRL IncomeLossFromContinuingOperationsBeforeIncomeTaxesMinorityInterestAndIncomeLossFromEquityMethodInvestments | 0001375365-26-000007</t>
        </is>
      </c>
      <c r="F260" s="16" t="inlineStr">
        <is>
          <t>FILED</t>
        </is>
      </c>
    </row>
    <row r="261">
      <c r="A261" s="13" t="inlineStr">
        <is>
          <t>Pre-tax income</t>
        </is>
      </c>
      <c r="B261" s="18" t="inlineStr">
        <is>
          <t>Q/E 2026-03-31</t>
        </is>
      </c>
      <c r="C261" s="29" t="n">
        <v>610969</v>
      </c>
      <c r="D261" s="17" t="inlineStr">
        <is>
          <t>10-Q</t>
        </is>
      </c>
      <c r="E261" s="17" t="inlineStr">
        <is>
          <t>XBRL IncomeLossFromContinuingOperationsBeforeIncomeTaxesMinorityInterestAndIncomeLossFromEquityMethodInvestments | 0001375365-26-000014</t>
        </is>
      </c>
      <c r="F261" s="16" t="inlineStr">
        <is>
          <t>FILED</t>
        </is>
      </c>
    </row>
    <row r="262">
      <c r="A262" s="13" t="inlineStr">
        <is>
          <t>R&amp;D expense</t>
        </is>
      </c>
      <c r="B262" s="18" t="inlineStr">
        <is>
          <t>FY2023</t>
        </is>
      </c>
      <c r="C262" s="29" t="n">
        <v>307260</v>
      </c>
      <c r="D262" s="17" t="inlineStr">
        <is>
          <t>10-K</t>
        </is>
      </c>
      <c r="E262" s="17" t="inlineStr">
        <is>
          <t>XBRL ResearchAndDevelopmentExpense | 0001375365-23-000036</t>
        </is>
      </c>
      <c r="F262" s="16" t="inlineStr">
        <is>
          <t>FILED</t>
        </is>
      </c>
    </row>
    <row r="263">
      <c r="A263" s="13" t="inlineStr">
        <is>
          <t>R&amp;D expense</t>
        </is>
      </c>
      <c r="B263" s="18" t="inlineStr">
        <is>
          <t>FY2024</t>
        </is>
      </c>
      <c r="C263" s="29" t="n">
        <v>463548</v>
      </c>
      <c r="D263" s="17" t="inlineStr">
        <is>
          <t>10-K</t>
        </is>
      </c>
      <c r="E263" s="17" t="inlineStr">
        <is>
          <t>XBRL ResearchAndDevelopmentExpense | 0001375365-25-000004</t>
        </is>
      </c>
      <c r="F263" s="16" t="inlineStr">
        <is>
          <t>FILED</t>
        </is>
      </c>
    </row>
    <row r="264">
      <c r="A264" s="13" t="inlineStr">
        <is>
          <t>R&amp;D expense</t>
        </is>
      </c>
      <c r="B264" s="18" t="inlineStr">
        <is>
          <t>FY2025</t>
        </is>
      </c>
      <c r="C264" s="29" t="n">
        <v>636550</v>
      </c>
      <c r="D264" s="17" t="inlineStr">
        <is>
          <t>10-K</t>
        </is>
      </c>
      <c r="E264" s="17" t="inlineStr">
        <is>
          <t>XBRL ResearchAndDevelopmentExpense | 0001375365-25-000027</t>
        </is>
      </c>
      <c r="F264" s="16" t="inlineStr">
        <is>
          <t>FILED</t>
        </is>
      </c>
    </row>
    <row r="265">
      <c r="A265" s="13" t="inlineStr">
        <is>
          <t>R&amp;D expense</t>
        </is>
      </c>
      <c r="B265" s="18" t="inlineStr">
        <is>
          <t>Q/E 2024-09-30</t>
        </is>
      </c>
      <c r="C265" s="29" t="n">
        <v>132243</v>
      </c>
      <c r="D265" s="17" t="inlineStr">
        <is>
          <t>10-Q</t>
        </is>
      </c>
      <c r="E265" s="17" t="inlineStr">
        <is>
          <t>XBRL ResearchAndDevelopmentExpense | 0001375365-25-000005</t>
        </is>
      </c>
      <c r="F265" s="16" t="inlineStr">
        <is>
          <t>FILED</t>
        </is>
      </c>
    </row>
    <row r="266">
      <c r="A266" s="13" t="inlineStr">
        <is>
          <t>R&amp;D expense</t>
        </is>
      </c>
      <c r="B266" s="18" t="inlineStr">
        <is>
          <t>Q/E 2024-12-31</t>
        </is>
      </c>
      <c r="C266" s="29" t="n">
        <v>158229</v>
      </c>
      <c r="D266" s="17" t="inlineStr">
        <is>
          <t>10-Q</t>
        </is>
      </c>
      <c r="E266" s="17" t="inlineStr">
        <is>
          <t>XBRL ResearchAndDevelopmentExpense | 0001375365-25-000006</t>
        </is>
      </c>
      <c r="F266" s="16" t="inlineStr">
        <is>
          <t>FILED</t>
        </is>
      </c>
    </row>
    <row r="267">
      <c r="A267" s="13" t="inlineStr">
        <is>
          <t>R&amp;D expense</t>
        </is>
      </c>
      <c r="B267" s="18" t="inlineStr">
        <is>
          <t>Q/E 2025-03-31</t>
        </is>
      </c>
      <c r="C267" s="29" t="n">
        <v>162857</v>
      </c>
      <c r="D267" s="17" t="inlineStr">
        <is>
          <t>10-Q</t>
        </is>
      </c>
      <c r="E267" s="17" t="inlineStr">
        <is>
          <t>XBRL ResearchAndDevelopmentExpense | 0001375365-25-000014</t>
        </is>
      </c>
      <c r="F267" s="16" t="inlineStr">
        <is>
          <t>FILED</t>
        </is>
      </c>
    </row>
    <row r="268">
      <c r="A268" s="13" t="inlineStr">
        <is>
          <t>R&amp;D expense</t>
        </is>
      </c>
      <c r="B268" s="18" t="inlineStr">
        <is>
          <t>Q/E 2025-09-30</t>
        </is>
      </c>
      <c r="C268" s="29" t="n">
        <v>173314</v>
      </c>
      <c r="D268" s="17" t="inlineStr">
        <is>
          <t>10-Q</t>
        </is>
      </c>
      <c r="E268" s="17" t="inlineStr">
        <is>
          <t>XBRL ResearchAndDevelopmentExpense | 0001375365-25-000030</t>
        </is>
      </c>
      <c r="F268" s="16" t="inlineStr">
        <is>
          <t>FILED</t>
        </is>
      </c>
    </row>
    <row r="269">
      <c r="A269" s="13" t="inlineStr">
        <is>
          <t>R&amp;D expense</t>
        </is>
      </c>
      <c r="B269" s="18" t="inlineStr">
        <is>
          <t>Q/E 2025-12-31</t>
        </is>
      </c>
      <c r="C269" s="29" t="n">
        <v>180761</v>
      </c>
      <c r="D269" s="17" t="inlineStr">
        <is>
          <t>10-Q</t>
        </is>
      </c>
      <c r="E269" s="17" t="inlineStr">
        <is>
          <t>XBRL ResearchAndDevelopmentExpense | 0001375365-26-000007</t>
        </is>
      </c>
      <c r="F269" s="16" t="inlineStr">
        <is>
          <t>FILED</t>
        </is>
      </c>
    </row>
    <row r="270">
      <c r="A270" s="13" t="inlineStr">
        <is>
          <t>R&amp;D expense</t>
        </is>
      </c>
      <c r="B270" s="18" t="inlineStr">
        <is>
          <t>Q/E 2026-03-31</t>
        </is>
      </c>
      <c r="C270" s="29" t="n">
        <v>215659</v>
      </c>
      <c r="D270" s="17" t="inlineStr">
        <is>
          <t>10-Q</t>
        </is>
      </c>
      <c r="E270" s="17" t="inlineStr">
        <is>
          <t>XBRL ResearchAndDevelopmentExpense | 0001375365-26-000014</t>
        </is>
      </c>
      <c r="F270" s="16" t="inlineStr">
        <is>
          <t>FILED</t>
        </is>
      </c>
    </row>
    <row r="271">
      <c r="A271" s="13" t="inlineStr">
        <is>
          <t>Revenue</t>
        </is>
      </c>
      <c r="B271" s="18" t="inlineStr">
        <is>
          <t>FY2023</t>
        </is>
      </c>
      <c r="C271" s="29" t="n">
        <v>7123482</v>
      </c>
      <c r="D271" s="17" t="inlineStr">
        <is>
          <t>10-K</t>
        </is>
      </c>
      <c r="E271" s="17" t="inlineStr">
        <is>
          <t>XBRL RevenueFromContractWithCustomerExcludingAssessedTax | 0001375365-23-000036</t>
        </is>
      </c>
      <c r="F271" s="16" t="inlineStr">
        <is>
          <t>FILED</t>
        </is>
      </c>
    </row>
    <row r="272">
      <c r="A272" s="13" t="inlineStr">
        <is>
          <t>Revenue</t>
        </is>
      </c>
      <c r="B272" s="18" t="inlineStr">
        <is>
          <t>FY2024</t>
        </is>
      </c>
      <c r="C272" s="29" t="n">
        <v>14989251</v>
      </c>
      <c r="D272" s="17" t="inlineStr">
        <is>
          <t>10-K</t>
        </is>
      </c>
      <c r="E272" s="17" t="inlineStr">
        <is>
          <t>XBRL RevenueFromContractWithCustomerExcludingAssessedTax | 0001375365-25-000004</t>
        </is>
      </c>
      <c r="F272" s="16" t="inlineStr">
        <is>
          <t>FILED</t>
        </is>
      </c>
    </row>
    <row r="273">
      <c r="A273" s="13" t="inlineStr">
        <is>
          <t>Revenue</t>
        </is>
      </c>
      <c r="B273" s="18" t="inlineStr">
        <is>
          <t>FY2025</t>
        </is>
      </c>
      <c r="C273" s="29" t="n">
        <v>21972042</v>
      </c>
      <c r="D273" s="17" t="inlineStr">
        <is>
          <t>10-K</t>
        </is>
      </c>
      <c r="E273" s="17" t="inlineStr">
        <is>
          <t>XBRL RevenueFromContractWithCustomerExcludingAssessedTax | 0001375365-25-000027</t>
        </is>
      </c>
      <c r="F273" s="16" t="inlineStr">
        <is>
          <t>FILED</t>
        </is>
      </c>
    </row>
    <row r="274">
      <c r="A274" s="13" t="inlineStr">
        <is>
          <t>Revenue</t>
        </is>
      </c>
      <c r="B274" s="18" t="inlineStr">
        <is>
          <t>Q/E 2024-09-30</t>
        </is>
      </c>
      <c r="C274" s="29" t="n">
        <v>5937256</v>
      </c>
      <c r="D274" s="17" t="inlineStr">
        <is>
          <t>10-Q</t>
        </is>
      </c>
      <c r="E274" s="17" t="inlineStr">
        <is>
          <t>XBRL RevenueFromContractWithCustomerExcludingAssessedTax | 0001375365-25-000005</t>
        </is>
      </c>
      <c r="F274" s="16" t="inlineStr">
        <is>
          <t>FILED</t>
        </is>
      </c>
    </row>
    <row r="275">
      <c r="A275" s="13" t="inlineStr">
        <is>
          <t>Revenue</t>
        </is>
      </c>
      <c r="B275" s="18" t="inlineStr">
        <is>
          <t>Q/E 2024-12-31</t>
        </is>
      </c>
      <c r="C275" s="29" t="n">
        <v>5677962</v>
      </c>
      <c r="D275" s="17" t="inlineStr">
        <is>
          <t>10-Q</t>
        </is>
      </c>
      <c r="E275" s="17" t="inlineStr">
        <is>
          <t>XBRL RevenueFromContractWithCustomerExcludingAssessedTax | 0001375365-25-000006</t>
        </is>
      </c>
      <c r="F275" s="16" t="inlineStr">
        <is>
          <t>FILED</t>
        </is>
      </c>
    </row>
    <row r="276">
      <c r="A276" s="13" t="inlineStr">
        <is>
          <t>Revenue</t>
        </is>
      </c>
      <c r="B276" s="18" t="inlineStr">
        <is>
          <t>Q/E 2025-03-31</t>
        </is>
      </c>
      <c r="C276" s="29" t="n">
        <v>4599913</v>
      </c>
      <c r="D276" s="17" t="inlineStr">
        <is>
          <t>10-Q</t>
        </is>
      </c>
      <c r="E276" s="17" t="inlineStr">
        <is>
          <t>XBRL RevenueFromContractWithCustomerExcludingAssessedTax | 0001375365-25-000014</t>
        </is>
      </c>
      <c r="F276" s="16" t="inlineStr">
        <is>
          <t>FILED</t>
        </is>
      </c>
    </row>
    <row r="277">
      <c r="A277" s="13" t="inlineStr">
        <is>
          <t>Revenue</t>
        </is>
      </c>
      <c r="B277" s="18" t="inlineStr">
        <is>
          <t>Q/E 2025-09-30</t>
        </is>
      </c>
      <c r="C277" s="29" t="n">
        <v>5017790</v>
      </c>
      <c r="D277" s="17" t="inlineStr">
        <is>
          <t>10-Q</t>
        </is>
      </c>
      <c r="E277" s="17" t="inlineStr">
        <is>
          <t>XBRL RevenueFromContractWithCustomerExcludingAssessedTax | 0001375365-25-000030</t>
        </is>
      </c>
      <c r="F277" s="16" t="inlineStr">
        <is>
          <t>FILED</t>
        </is>
      </c>
    </row>
    <row r="278">
      <c r="A278" s="13" t="inlineStr">
        <is>
          <t>Revenue</t>
        </is>
      </c>
      <c r="B278" s="18" t="inlineStr">
        <is>
          <t>Q/E 2025-12-31</t>
        </is>
      </c>
      <c r="C278" s="29" t="n">
        <v>12682491</v>
      </c>
      <c r="D278" s="17" t="inlineStr">
        <is>
          <t>10-Q</t>
        </is>
      </c>
      <c r="E278" s="17" t="inlineStr">
        <is>
          <t>XBRL RevenueFromContractWithCustomerExcludingAssessedTax | 0001375365-26-000007</t>
        </is>
      </c>
      <c r="F278" s="16" t="inlineStr">
        <is>
          <t>FILED</t>
        </is>
      </c>
    </row>
    <row r="279">
      <c r="A279" s="13" t="inlineStr">
        <is>
          <t>Revenue</t>
        </is>
      </c>
      <c r="B279" s="18" t="inlineStr">
        <is>
          <t>Q/E 2026-03-31</t>
        </is>
      </c>
      <c r="C279" s="29" t="n">
        <v>10243014</v>
      </c>
      <c r="D279" s="17" t="inlineStr">
        <is>
          <t>10-Q</t>
        </is>
      </c>
      <c r="E279" s="17" t="inlineStr">
        <is>
          <t>XBRL RevenueFromContractWithCustomerExcludingAssessedTax | 0001375365-26-000014</t>
        </is>
      </c>
      <c r="F279" s="16" t="inlineStr">
        <is>
          <t>FILED</t>
        </is>
      </c>
    </row>
    <row r="280">
      <c r="A280" s="13" t="inlineStr">
        <is>
          <t>Sales and marketing</t>
        </is>
      </c>
      <c r="B280" s="18" t="inlineStr">
        <is>
          <t>FY2023</t>
        </is>
      </c>
      <c r="C280" s="29" t="n">
        <v>115025</v>
      </c>
      <c r="D280" s="17" t="inlineStr">
        <is>
          <t>SMCI FY2025 10-K</t>
        </is>
      </c>
      <c r="E280" s="17" t="inlineStr">
        <is>
          <t>Consolidated Statements of Operations (XBRL SellingAndMarketingExpense)</t>
        </is>
      </c>
      <c r="F280" s="16" t="inlineStr">
        <is>
          <t>FILED</t>
        </is>
      </c>
    </row>
    <row r="281">
      <c r="A281" s="13" t="inlineStr">
        <is>
          <t>Sales and marketing</t>
        </is>
      </c>
      <c r="B281" s="18" t="inlineStr">
        <is>
          <t>FY2024</t>
        </is>
      </c>
      <c r="C281" s="29" t="n">
        <v>189738</v>
      </c>
      <c r="D281" s="17" t="inlineStr">
        <is>
          <t>SMCI FY2025 10-K</t>
        </is>
      </c>
      <c r="E281" s="17" t="inlineStr">
        <is>
          <t>Consolidated Statements of Operations (XBRL SellingAndMarketingExpense)</t>
        </is>
      </c>
      <c r="F281" s="16" t="inlineStr">
        <is>
          <t>FILED</t>
        </is>
      </c>
    </row>
    <row r="282">
      <c r="A282" s="13" t="inlineStr">
        <is>
          <t>Sales and marketing</t>
        </is>
      </c>
      <c r="B282" s="18" t="inlineStr">
        <is>
          <t>FY2025</t>
        </is>
      </c>
      <c r="C282" s="29" t="n">
        <v>273139</v>
      </c>
      <c r="D282" s="17" t="inlineStr">
        <is>
          <t>SMCI FY2025 10-K</t>
        </is>
      </c>
      <c r="E282" s="17" t="inlineStr">
        <is>
          <t>Consolidated Statements of Operations (XBRL SellingAndMarketingExpense)</t>
        </is>
      </c>
      <c r="F282" s="16" t="inlineStr">
        <is>
          <t>FILED</t>
        </is>
      </c>
    </row>
    <row r="283">
      <c r="A283" s="13" t="inlineStr">
        <is>
          <t>Share of income (loss) from equity investee net of tax</t>
        </is>
      </c>
      <c r="B283" s="18" t="inlineStr">
        <is>
          <t>FY2023</t>
        </is>
      </c>
      <c r="C283" s="29" t="n">
        <v>-3600</v>
      </c>
      <c r="D283" s="17" t="inlineStr">
        <is>
          <t>SMCI FY2025 10-K</t>
        </is>
      </c>
      <c r="E283" s="17" t="inlineStr">
        <is>
          <t>Consolidated Statements of Operations</t>
        </is>
      </c>
      <c r="F283" s="16" t="inlineStr">
        <is>
          <t>FILED</t>
        </is>
      </c>
    </row>
    <row r="284">
      <c r="A284" s="13" t="inlineStr">
        <is>
          <t>Share of income (loss) from equity investee net of tax</t>
        </is>
      </c>
      <c r="B284" s="18" t="inlineStr">
        <is>
          <t>FY2024</t>
        </is>
      </c>
      <c r="C284" s="29" t="n">
        <v>1800</v>
      </c>
      <c r="D284" s="17" t="inlineStr">
        <is>
          <t>SMCI FY2025 10-K</t>
        </is>
      </c>
      <c r="E284" s="17" t="inlineStr">
        <is>
          <t>Consolidated Statements of Operations</t>
        </is>
      </c>
      <c r="F284" s="16" t="inlineStr">
        <is>
          <t>FILED</t>
        </is>
      </c>
    </row>
    <row r="285">
      <c r="A285" s="13" t="inlineStr">
        <is>
          <t>Share of income (loss) from equity investee net of tax</t>
        </is>
      </c>
      <c r="B285" s="18" t="inlineStr">
        <is>
          <t>FY2025</t>
        </is>
      </c>
      <c r="C285" s="29" t="n">
        <v>-6200</v>
      </c>
      <c r="D285" s="17" t="inlineStr">
        <is>
          <t>SMCI FY2025 10-K</t>
        </is>
      </c>
      <c r="E285" s="17" t="inlineStr">
        <is>
          <t>Consolidated Statements of Operations</t>
        </is>
      </c>
      <c r="F285" s="16" t="inlineStr">
        <is>
          <t>FILED</t>
        </is>
      </c>
    </row>
    <row r="286">
      <c r="A286" s="13" t="inlineStr">
        <is>
          <t>Related party AP balance - total</t>
        </is>
      </c>
      <c r="B286" s="18" t="inlineStr">
        <is>
          <t>FY2023</t>
        </is>
      </c>
      <c r="C286" s="29" t="n">
        <v>89134</v>
      </c>
      <c r="D286" s="17" t="inlineStr">
        <is>
          <t>SMCI FY2025 10-K</t>
        </is>
      </c>
      <c r="E286" s="17" t="inlineStr">
        <is>
          <t>Related Party Transactions note</t>
        </is>
      </c>
      <c r="F286" s="16" t="inlineStr">
        <is>
          <t>FILED</t>
        </is>
      </c>
    </row>
    <row r="287">
      <c r="A287" s="13" t="inlineStr">
        <is>
          <t>Related party AP balance - total</t>
        </is>
      </c>
      <c r="B287" s="18" t="inlineStr">
        <is>
          <t>FY2024</t>
        </is>
      </c>
      <c r="C287" s="29" t="n">
        <v>165295</v>
      </c>
      <c r="D287" s="17" t="inlineStr">
        <is>
          <t>SMCI FY2025 10-K</t>
        </is>
      </c>
      <c r="E287" s="17" t="inlineStr">
        <is>
          <t>Related Party Transactions note</t>
        </is>
      </c>
      <c r="F287" s="16" t="inlineStr">
        <is>
          <t>FILED</t>
        </is>
      </c>
    </row>
    <row r="288">
      <c r="A288" s="13" t="inlineStr">
        <is>
          <t>Related party AP balance - total</t>
        </is>
      </c>
      <c r="B288" s="18" t="inlineStr">
        <is>
          <t>FY2025</t>
        </is>
      </c>
      <c r="C288" s="29" t="n">
        <v>129752</v>
      </c>
      <c r="D288" s="17" t="inlineStr">
        <is>
          <t>SMCI FY2025 10-K</t>
        </is>
      </c>
      <c r="E288" s="17" t="inlineStr">
        <is>
          <t>Related Party Transactions note</t>
        </is>
      </c>
      <c r="F288" s="16" t="inlineStr">
        <is>
          <t>FILED</t>
        </is>
      </c>
    </row>
    <row r="289">
      <c r="A289" s="13" t="inlineStr">
        <is>
          <t>Related party COGS - Ablecom</t>
        </is>
      </c>
      <c r="B289" s="18" t="inlineStr">
        <is>
          <t>FY2023</t>
        </is>
      </c>
      <c r="C289" s="29" t="n">
        <v>167801</v>
      </c>
      <c r="D289" s="17" t="inlineStr">
        <is>
          <t>SMCI FY2025 10-K</t>
        </is>
      </c>
      <c r="E289" s="17" t="inlineStr">
        <is>
          <t>Related Party Transactions note</t>
        </is>
      </c>
      <c r="F289" s="16" t="inlineStr">
        <is>
          <t>FILED</t>
        </is>
      </c>
    </row>
    <row r="290">
      <c r="A290" s="13" t="inlineStr">
        <is>
          <t>Related party COGS - Ablecom</t>
        </is>
      </c>
      <c r="B290" s="18" t="inlineStr">
        <is>
          <t>FY2024</t>
        </is>
      </c>
      <c r="C290" s="29" t="n">
        <v>269256</v>
      </c>
      <c r="D290" s="17" t="inlineStr">
        <is>
          <t>SMCI FY2025 10-K</t>
        </is>
      </c>
      <c r="E290" s="17" t="inlineStr">
        <is>
          <t>Related Party Transactions note</t>
        </is>
      </c>
      <c r="F290" s="16" t="inlineStr">
        <is>
          <t>FILED</t>
        </is>
      </c>
    </row>
    <row r="291">
      <c r="A291" s="13" t="inlineStr">
        <is>
          <t>Related party COGS - Ablecom</t>
        </is>
      </c>
      <c r="B291" s="18" t="inlineStr">
        <is>
          <t>FY2025</t>
        </is>
      </c>
      <c r="C291" s="29" t="n">
        <v>321866</v>
      </c>
      <c r="D291" s="17" t="inlineStr">
        <is>
          <t>SMCI FY2025 10-K</t>
        </is>
      </c>
      <c r="E291" s="17" t="inlineStr">
        <is>
          <t>Related Party Transactions note</t>
        </is>
      </c>
      <c r="F291" s="16" t="inlineStr">
        <is>
          <t>FILED</t>
        </is>
      </c>
    </row>
    <row r="292">
      <c r="A292" s="13" t="inlineStr">
        <is>
          <t>Related party COGS - Compuware</t>
        </is>
      </c>
      <c r="B292" s="18" t="inlineStr">
        <is>
          <t>FY2023</t>
        </is>
      </c>
      <c r="C292" s="29" t="n">
        <v>216961</v>
      </c>
      <c r="D292" s="17" t="inlineStr">
        <is>
          <t>SMCI FY2025 10-K</t>
        </is>
      </c>
      <c r="E292" s="17" t="inlineStr">
        <is>
          <t>Related Party Transactions note</t>
        </is>
      </c>
      <c r="F292" s="16" t="inlineStr">
        <is>
          <t>FILED</t>
        </is>
      </c>
    </row>
    <row r="293">
      <c r="A293" s="13" t="inlineStr">
        <is>
          <t>Related party COGS - Compuware</t>
        </is>
      </c>
      <c r="B293" s="18" t="inlineStr">
        <is>
          <t>FY2024</t>
        </is>
      </c>
      <c r="C293" s="29" t="n">
        <v>280801</v>
      </c>
      <c r="D293" s="17" t="inlineStr">
        <is>
          <t>SMCI FY2025 10-K</t>
        </is>
      </c>
      <c r="E293" s="17" t="inlineStr">
        <is>
          <t>Related Party Transactions note</t>
        </is>
      </c>
      <c r="F293" s="16" t="inlineStr">
        <is>
          <t>FILED</t>
        </is>
      </c>
    </row>
    <row r="294">
      <c r="A294" s="13" t="inlineStr">
        <is>
          <t>Related party COGS - Compuware</t>
        </is>
      </c>
      <c r="B294" s="18" t="inlineStr">
        <is>
          <t>FY2025</t>
        </is>
      </c>
      <c r="C294" s="29" t="n">
        <v>328258</v>
      </c>
      <c r="D294" s="17" t="inlineStr">
        <is>
          <t>SMCI FY2025 10-K</t>
        </is>
      </c>
      <c r="E294" s="17" t="inlineStr">
        <is>
          <t>Related Party Transactions note</t>
        </is>
      </c>
      <c r="F294" s="16" t="inlineStr">
        <is>
          <t>FILED</t>
        </is>
      </c>
    </row>
    <row r="295">
      <c r="A295" s="13" t="inlineStr">
        <is>
          <t>Related party COGS - Leadtek</t>
        </is>
      </c>
      <c r="B295" s="18" t="inlineStr">
        <is>
          <t>FY2024</t>
        </is>
      </c>
      <c r="C295" s="29" t="n">
        <v>2079</v>
      </c>
      <c r="D295" s="17" t="inlineStr">
        <is>
          <t>SMCI FY2025 10-K</t>
        </is>
      </c>
      <c r="E295" s="17" t="inlineStr">
        <is>
          <t>Related Party Transactions note</t>
        </is>
      </c>
      <c r="F295" s="16" t="inlineStr">
        <is>
          <t>FILED</t>
        </is>
      </c>
    </row>
    <row r="296">
      <c r="A296" s="13" t="inlineStr">
        <is>
          <t>Related party COGS - Leadtek</t>
        </is>
      </c>
      <c r="B296" s="18" t="inlineStr">
        <is>
          <t>FY2025</t>
        </is>
      </c>
      <c r="C296" s="29" t="n">
        <v>534</v>
      </c>
      <c r="D296" s="17" t="inlineStr">
        <is>
          <t>SMCI FY2025 10-K</t>
        </is>
      </c>
      <c r="E296" s="17" t="inlineStr">
        <is>
          <t>Related Party Transactions note</t>
        </is>
      </c>
      <c r="F296" s="16" t="inlineStr">
        <is>
          <t>FILED</t>
        </is>
      </c>
    </row>
    <row r="297">
      <c r="A297" s="13" t="inlineStr">
        <is>
          <t>Related party COGS - total</t>
        </is>
      </c>
      <c r="B297" s="18" t="inlineStr">
        <is>
          <t>FY2023</t>
        </is>
      </c>
      <c r="C297" s="29" t="n">
        <v>384762</v>
      </c>
      <c r="D297" s="17" t="inlineStr">
        <is>
          <t>SMCI FY2025 10-K</t>
        </is>
      </c>
      <c r="E297" s="17" t="inlineStr">
        <is>
          <t>Related Party Transactions note</t>
        </is>
      </c>
      <c r="F297" s="16" t="inlineStr">
        <is>
          <t>FILED</t>
        </is>
      </c>
    </row>
    <row r="298">
      <c r="A298" s="13" t="inlineStr">
        <is>
          <t>Related party COGS - total</t>
        </is>
      </c>
      <c r="B298" s="18" t="inlineStr">
        <is>
          <t>FY2024</t>
        </is>
      </c>
      <c r="C298" s="29" t="n">
        <v>552136</v>
      </c>
      <c r="D298" s="17" t="inlineStr">
        <is>
          <t>SMCI FY2025 10-K</t>
        </is>
      </c>
      <c r="E298" s="17" t="inlineStr">
        <is>
          <t>Related Party Transactions note</t>
        </is>
      </c>
      <c r="F298" s="16" t="inlineStr">
        <is>
          <t>FILED</t>
        </is>
      </c>
    </row>
    <row r="299">
      <c r="A299" s="13" t="inlineStr">
        <is>
          <t>Related party COGS - total</t>
        </is>
      </c>
      <c r="B299" s="18" t="inlineStr">
        <is>
          <t>FY2025</t>
        </is>
      </c>
      <c r="C299" s="29" t="n">
        <v>650658</v>
      </c>
      <c r="D299" s="17" t="inlineStr">
        <is>
          <t>SMCI FY2025 10-K</t>
        </is>
      </c>
      <c r="E299" s="17" t="inlineStr">
        <is>
          <t>Related Party Transactions note</t>
        </is>
      </c>
      <c r="F299" s="16" t="inlineStr">
        <is>
          <t>FILED</t>
        </is>
      </c>
    </row>
    <row r="300">
      <c r="A300" s="13" t="inlineStr">
        <is>
          <t>Related party net sales - total</t>
        </is>
      </c>
      <c r="B300" s="18" t="inlineStr">
        <is>
          <t>FY2023</t>
        </is>
      </c>
      <c r="C300" s="29" t="n">
        <v>60537</v>
      </c>
      <c r="D300" s="17" t="inlineStr">
        <is>
          <t>SMCI FY2025 10-K</t>
        </is>
      </c>
      <c r="E300" s="17" t="inlineStr">
        <is>
          <t>Related Party Transactions note</t>
        </is>
      </c>
      <c r="F300" s="16" t="inlineStr">
        <is>
          <t>FILED</t>
        </is>
      </c>
    </row>
    <row r="301">
      <c r="A301" s="13" t="inlineStr">
        <is>
          <t>Related party net sales - total</t>
        </is>
      </c>
      <c r="B301" s="18" t="inlineStr">
        <is>
          <t>FY2024</t>
        </is>
      </c>
      <c r="C301" s="29" t="n">
        <v>69791</v>
      </c>
      <c r="D301" s="17" t="inlineStr">
        <is>
          <t>SMCI FY2025 10-K</t>
        </is>
      </c>
      <c r="E301" s="17" t="inlineStr">
        <is>
          <t>Related Party Transactions note</t>
        </is>
      </c>
      <c r="F301" s="16" t="inlineStr">
        <is>
          <t>FILED</t>
        </is>
      </c>
    </row>
    <row r="302">
      <c r="A302" s="13" t="inlineStr">
        <is>
          <t>Related party net sales - total</t>
        </is>
      </c>
      <c r="B302" s="18" t="inlineStr">
        <is>
          <t>FY2025</t>
        </is>
      </c>
      <c r="C302" s="29" t="n">
        <v>42259</v>
      </c>
      <c r="D302" s="17" t="inlineStr">
        <is>
          <t>SMCI FY2025 10-K</t>
        </is>
      </c>
      <c r="E302" s="17" t="inlineStr">
        <is>
          <t>Related Party Transactions note</t>
        </is>
      </c>
      <c r="F302" s="16" t="inlineStr">
        <is>
          <t>FILED</t>
        </is>
      </c>
    </row>
    <row r="303">
      <c r="A303" s="13" t="inlineStr">
        <is>
          <t>Audit fees (BDO)</t>
        </is>
      </c>
      <c r="B303" s="18" t="inlineStr">
        <is>
          <t>FY2024</t>
        </is>
      </c>
      <c r="C303" s="29" t="n">
        <v>8578</v>
      </c>
      <c r="D303" s="17" t="inlineStr">
        <is>
          <t>SMCI DEF 14A (FY2025/FY2026 proxy)</t>
        </is>
      </c>
      <c r="E303" s="17" t="inlineStr">
        <is>
          <t>Principal Accountant Fees and Services</t>
        </is>
      </c>
      <c r="F303" s="16" t="inlineStr">
        <is>
          <t>FILED</t>
        </is>
      </c>
    </row>
    <row r="304">
      <c r="A304" s="13" t="inlineStr">
        <is>
          <t>Audit fees (BDO)</t>
        </is>
      </c>
      <c r="B304" s="18" t="inlineStr">
        <is>
          <t>FY2025</t>
        </is>
      </c>
      <c r="C304" s="29" t="n">
        <v>8084</v>
      </c>
      <c r="D304" s="17" t="inlineStr">
        <is>
          <t>SMCI DEF 14A (FY2026 proxy)</t>
        </is>
      </c>
      <c r="E304" s="17" t="inlineStr">
        <is>
          <t>Principal Accountant Fees and Services</t>
        </is>
      </c>
      <c r="F304" s="16" t="inlineStr">
        <is>
          <t>FILED</t>
        </is>
      </c>
    </row>
    <row r="305">
      <c r="A305" s="13" t="inlineStr">
        <is>
          <t>Audit fees (BDO/Deloitte)</t>
        </is>
      </c>
      <c r="B305" s="18" t="inlineStr">
        <is>
          <t>FY2023</t>
        </is>
      </c>
      <c r="C305" s="29" t="n">
        <v>4756</v>
      </c>
      <c r="D305" s="17" t="inlineStr">
        <is>
          <t>SMCI DEF 14A (FY2025 proxy)</t>
        </is>
      </c>
      <c r="E305" s="17" t="inlineStr">
        <is>
          <t>Principal Accountant Fees and Services</t>
        </is>
      </c>
      <c r="F305" s="16" t="inlineStr">
        <is>
          <t>FILED</t>
        </is>
      </c>
    </row>
    <row r="306">
      <c r="A306" s="13" t="inlineStr">
        <is>
          <t>Audit fees (Deloitte)</t>
        </is>
      </c>
      <c r="B306" s="18" t="inlineStr">
        <is>
          <t>FY2021</t>
        </is>
      </c>
      <c r="C306" s="29" t="n">
        <v>4405</v>
      </c>
      <c r="D306" s="17" t="inlineStr">
        <is>
          <t>SMCI DEF 14A (FY2022 proxy)</t>
        </is>
      </c>
      <c r="E306" s="17" t="inlineStr">
        <is>
          <t>Principal Accountant Fees and Services</t>
        </is>
      </c>
      <c r="F306" s="16" t="inlineStr">
        <is>
          <t>FILED</t>
        </is>
      </c>
    </row>
    <row r="307">
      <c r="A307" s="13" t="inlineStr">
        <is>
          <t>Audit fees (Deloitte)</t>
        </is>
      </c>
      <c r="B307" s="18" t="inlineStr">
        <is>
          <t>FY2022</t>
        </is>
      </c>
      <c r="C307" s="29" t="n">
        <v>4488</v>
      </c>
      <c r="D307" s="17" t="inlineStr">
        <is>
          <t>SMCI DEF 14A (FY2022 proxy)</t>
        </is>
      </c>
      <c r="E307" s="17" t="inlineStr">
        <is>
          <t>Principal Accountant Fees and Services</t>
        </is>
      </c>
      <c r="F307" s="16" t="inlineStr">
        <is>
          <t>FILED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2026-08-25T00:36:38Z</dcterms:created>
  <dcterms:modified xsi:type="dcterms:W3CDTF">2026-08-25T00:36:38Z</dcterms:modified>
</cp:coreProperties>
</file>